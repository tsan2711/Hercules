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<sst xmlns="http://schemas.openxmlformats.org/spreadsheetml/2006/main" count="115" uniqueCount="114">
  <si>
    <t>Mã nhóm</t>
  </si>
  <si>
    <t>GK14</t>
  </si>
  <si>
    <t>(Xem ở trang làm nhóm trên ELIT, xem hình bên phải)</t>
  </si>
  <si>
    <t>Thành viên</t>
  </si>
  <si>
    <t>Họ tên</t>
  </si>
  <si>
    <t>MSSV</t>
  </si>
  <si>
    <t>SĐT</t>
  </si>
  <si>
    <t>Ghi chú</t>
  </si>
  <si>
    <t>Ký hiệu</t>
  </si>
  <si>
    <t>Nơi lấy mã nhóm: Vào ELIT, vào trang làm nhóm của đồ án sẽ thấy mục mã nhóm</t>
  </si>
  <si>
    <t>Nguyễn Tấn Sang</t>
  </si>
  <si>
    <t>TV1</t>
  </si>
  <si>
    <t>Lê Quang Thành</t>
  </si>
  <si>
    <t>TV2</t>
  </si>
  <si>
    <t>Nguyễn Tuấn Khôi</t>
  </si>
  <si>
    <t>TV3</t>
  </si>
  <si>
    <t>TV4</t>
  </si>
  <si>
    <t>THANG ĐIỂM ĐÁNH GIÁ ĐỒ ÁN MÔN LẬP TRÌNH GAME</t>
  </si>
  <si>
    <t>Đánh giá
TV1</t>
  </si>
  <si>
    <t>Đánh giá
TV2</t>
  </si>
  <si>
    <t>Đánh giá
TV3</t>
  </si>
  <si>
    <t>Đánh giá
TV4</t>
  </si>
  <si>
    <t>Tiêu chí</t>
  </si>
  <si>
    <t>Mô tả tiêu chí</t>
  </si>
  <si>
    <t>Game concept
(Tối đa 0.5đ)</t>
  </si>
  <si>
    <t>Không nộp (0đ)</t>
  </si>
  <si>
    <t>Lưu ý: Trong mỗi tiêu chí: phần nào KHÔNG ghi chữ “cộng” (hoặc "trừ") chỉ được chọn 1 mức, phần nào có ghi chữ “cộng” (hoặc "trừ") ở điểm số là điểm cộng thêm (hoặc trừ đi) có thể chọn nhiều nếu thỏa yêu cầu.</t>
  </si>
  <si>
    <t>Nộp game concept đúng hạn (0.25đ)</t>
  </si>
  <si>
    <t>Game concept mô tả đủ thông tin yêu cầu (cộng 0.25đ)</t>
  </si>
  <si>
    <t>Quyển báo cáo bản word
(Tối đa 1.5đ)</t>
  </si>
  <si>
    <t>Không có báo cáo (0đ)</t>
  </si>
  <si>
    <t>Báo cáo cẩu thả hoặc phần lớn copy trên mạng (0.25đ)</t>
  </si>
  <si>
    <t>Báo cáo chỉ trình bày các vấn đề lý thuyết hoặc có ít nội dung trình bày về project của mình (0.5đ)</t>
  </si>
  <si>
    <t>Báo cáo trình bày đủ và hợp lý các phần: Giới thiệu đề tài, cơ sở lý thuyết (hoặc các vấn đề liên quan đến project), phân tích và thiết kế, hiện thực, kết quả đạt được. (mỗi phần hợp lệ cho 0.25đ, tối đa 0.75đ)</t>
  </si>
  <si>
    <t>Có trích dẫn đầy đủ các nội dung tham khảo, có danh mục hình, bảng, tài liệu tham khảo (cộng 0.25đ)</t>
  </si>
  <si>
    <t>Trình bày đúng, hợp lý các sơ đồ trong phần tích thiết kế (cộng 0.25đ)</t>
  </si>
  <si>
    <t>Trình bày đúng, hợp lý phần hiện thực (cộng 0.25đ)</t>
  </si>
  <si>
    <r>
      <rPr>
        <rFont val="Times New Roman"/>
        <color rgb="FF000000"/>
        <sz val="12.0"/>
      </rPr>
      <t>Báo cáo nhiều hình ảnh thừa, nhiều code thừa (</t>
    </r>
    <r>
      <rPr>
        <rFont val="Times New Roman"/>
        <color rgb="FFFF0000"/>
        <sz val="12.0"/>
      </rPr>
      <t>trừ 0.25đ</t>
    </r>
    <r>
      <rPr>
        <rFont val="Times New Roman"/>
        <color rgb="FF000000"/>
        <sz val="12.0"/>
      </rPr>
      <t>)</t>
    </r>
  </si>
  <si>
    <r>
      <rPr>
        <rFont val="Times New Roman"/>
        <color rgb="FF000000"/>
        <sz val="12.0"/>
      </rPr>
      <t>Trình bày hợp lý theo yêu cầu trên nhưng hình thức không tốt (font chữ lung tung, canh lề lung tung) (</t>
    </r>
    <r>
      <rPr>
        <rFont val="Times New Roman"/>
        <color rgb="FFFF0000"/>
        <sz val="12.0"/>
      </rPr>
      <t>trừ 0.25đ</t>
    </r>
    <r>
      <rPr>
        <rFont val="Times New Roman"/>
        <color rgb="FF000000"/>
        <sz val="12.0"/>
      </rPr>
      <t>)</t>
    </r>
  </si>
  <si>
    <r>
      <rPr>
        <rFont val="Times New Roman"/>
        <color rgb="FF000000"/>
        <sz val="12.0"/>
      </rPr>
      <t xml:space="preserve">Lưu ý: </t>
    </r>
    <r>
      <rPr>
        <rFont val="Times New Roman"/>
        <i/>
        <color rgb="FF000000"/>
        <sz val="12.0"/>
      </rPr>
      <t>“Hợp lý” là nói về nội dung của phần trình bày, sinh viên tự đánh giá mức độ, giáo viên sẽ đánh giá lại sau khi chấm.</t>
    </r>
  </si>
  <si>
    <t>Tự code project của mình
(Tối đa 1.25đ)
Source code ở đây là nói đến ngôn ngữ lập trình, không phải hình ảnh, video trong game.</t>
  </si>
  <si>
    <t>Tham khảo hoàn toàn trên mạng (0đ)</t>
  </si>
  <si>
    <t>Xem 01 bài hướng dẫn trên mạng nhưng tự code lại theo ý mình cho project của mình (0.25đ).</t>
  </si>
  <si>
    <t>Tham khảo nhiều nguồn để đưa vào game của mình (0.5đ)</t>
  </si>
  <si>
    <t>Thảm khảo nhiều nguồn nhưng tự làm game của mình (0.75đ)</t>
  </si>
  <si>
    <t>Source code trong project nếu tự viết hoàn toàn theo ý hiểu của mình thì cộng 0.25đ</t>
  </si>
  <si>
    <t>Tự viết code theo ý hiểu của mình và có những module tự viết hoàn toàn mà không tham khảo ở đâu (cộng 0.25đ)</t>
  </si>
  <si>
    <r>
      <rPr>
        <rFont val="Times New Roman"/>
        <color rgb="FF000000"/>
        <sz val="12.0"/>
      </rPr>
      <t xml:space="preserve">Nếu sinh viên chỉ dùng plugin của game engine mà không viết code hoặc viết code rất ít thì đánh giá </t>
    </r>
    <r>
      <rPr>
        <rFont val="Times New Roman"/>
        <color rgb="FFFF0000"/>
        <sz val="12.0"/>
      </rPr>
      <t>0đ</t>
    </r>
    <r>
      <rPr>
        <rFont val="Times New Roman"/>
        <color rgb="FF000000"/>
        <sz val="12.0"/>
      </rPr>
      <t xml:space="preserve"> phần này.</t>
    </r>
  </si>
  <si>
    <r>
      <rPr>
        <rFont val="Times New Roman"/>
        <color rgb="FF000000"/>
        <sz val="12.0"/>
      </rPr>
      <t>(</t>
    </r>
    <r>
      <rPr>
        <rFont val="Times New Roman"/>
        <b/>
        <color rgb="FF000000"/>
        <sz val="12.0"/>
      </rPr>
      <t>Giáo viên sẽ kiểm tra lại source của sinh viên để đảm bảo đánh giá đúng cho tiêu chí này; nếu phát hiện sinh viên copy source nhưng không ghi rõ nguồn gốc thì sinh viên sẽ bị 0 điểm cho toàn đồ án</t>
    </r>
    <r>
      <rPr>
        <rFont val="Times New Roman"/>
        <color rgb="FF000000"/>
        <sz val="12.0"/>
      </rPr>
      <t>)</t>
    </r>
  </si>
  <si>
    <t>Bối cảnh, cốt truyện
(Tối đa 0.5đ)</t>
  </si>
  <si>
    <t>Có bối cảnh, cốt truyện game thu hút và tự suy nghĩ ra (0.5đ)</t>
  </si>
  <si>
    <t>Bối cảnh, cốt truyện từ game đã có (0.25đ)</t>
  </si>
  <si>
    <t>Game đơn giản không có bối cảnh, cốt truyện (0đ)</t>
  </si>
  <si>
    <t>Nhân vật trong game
(Tối đa 0.75đ)</t>
  </si>
  <si>
    <t>Sinh viên tự thiết kế tất cả các hình ảnh nhân vật trong game thì đánh giá 0.75đ phần này.</t>
  </si>
  <si>
    <t>Sinh viên thu thập hình ảnh nhân vật từ nhiều nguồn khác nhau và có thao tác lắp ráp lại thành nhân vật của mình thì đánh giá 0.5đ</t>
  </si>
  <si>
    <t>Sinh viên lấy hình ảnh từ 01 nguồn duy nhất hoặc chỉ lấy về sử dụng mà không có chỉnh sửa bổ sung gì thêm thì đánh giá 0.25đ</t>
  </si>
  <si>
    <r>
      <rPr>
        <rFont val="Times New Roman"/>
        <color rgb="FF000000"/>
        <sz val="12.0"/>
      </rPr>
      <t xml:space="preserve">Nhân vật không có hoạt hình thì trừ </t>
    </r>
    <r>
      <rPr>
        <rFont val="Times New Roman"/>
        <color rgb="FFFF0000"/>
        <sz val="12.0"/>
      </rPr>
      <t>0.25đ </t>
    </r>
  </si>
  <si>
    <t>Bản đồ (map) game
(Tối đa 0.75đ)</t>
  </si>
  <si>
    <t>Game chỉ có 1 cảnh chơi đơn giản (ví dụ game cờ tướng chỉ có 1 cảnh là màn hình bàn cờ, hay game kim cương chỉ có 1 cảnh cho nhiều level khác nhau) thì đánh giá 0đ</t>
  </si>
  <si>
    <t>Game có map đơn giản (0.25đ)</t>
  </si>
  <si>
    <t>Game có map phức tạp hoặc game có ít nhất 10 map đơn giản (0.5đ)</t>
  </si>
  <si>
    <t>Map phức tạp có nhiều nhân vật có thể tương tác, nói chuyện với nhau trên map (0.75đ)</t>
  </si>
  <si>
    <t>Có chuyển cảnh giữa các map với nhau (cộng 0.25đ)</t>
  </si>
  <si>
    <t> Phức tạp: có nhiều đối tượng khác nhau trên map như cây, cỏ, sông, núi và phải thể hiện thành 1 map hài hoà không phải chắp vá cho có.</t>
  </si>
  <si>
    <t>Nhân vật tự động (AI)
(Tối đa 0.75đ)</t>
  </si>
  <si>
    <t>Nếu là dạng game đơn giản thì xem xét chức năng tự chơi của máy (Ví dụ máy đấu với người trong game cờ vua, cờ tướng)</t>
  </si>
  <si>
    <t>Có áp dụng AI hỗ trợ sẵn của game engine (0.25đ)</t>
  </si>
  <si>
    <t>Có áp dụng AI của game engine và có lập trình thêm để nhân vật thông minh hơn (0.5đ)</t>
  </si>
  <si>
    <t>Có nhiều level cho AI (như nhiều loại quái có mức độ thông minh khác nhau) thì cộng 0.25đ</t>
  </si>
  <si>
    <r>
      <rPr>
        <rFont val="Times New Roman"/>
        <color rgb="FF000000"/>
        <sz val="12.0"/>
      </rPr>
      <t xml:space="preserve">Có nhiều loại AI khác nhau như tìm đường, đánh nhau, phán đoán hành vi người chơi, … cộng </t>
    </r>
    <r>
      <rPr>
        <rFont val="Times New Roman"/>
        <color rgb="FF4472C4"/>
        <sz val="12.0"/>
      </rPr>
      <t>0.25đ</t>
    </r>
  </si>
  <si>
    <t>Animation
(Tối đa 0.5đ)</t>
  </si>
  <si>
    <t>Không có hoạt hình hoặc chỉ có 1 trạng thái hoạt hình (0đ)</t>
  </si>
  <si>
    <t>Có nhiều trạng thái hoạt hình và dùng FSM để thể hiện hoạt hình cho nhân vật (0.25đ)</t>
  </si>
  <si>
    <t>Có dùng Blend Trees hoặc có nhiều FSM cho nhiều nhân vật khác nhau (cộng 0.25đ)</t>
  </si>
  <si>
    <t>Tự xây dựng animation cho nhân vật (cộng 0.25đ)</t>
  </si>
  <si>
    <t>Có viết code điều khiển animation (cộng 0.25đ)</t>
  </si>
  <si>
    <t>Lưu trữ
(Tối đa 0.5đ)</t>
  </si>
  <si>
    <t>Không có lưu gì (0đ)</t>
  </si>
  <si>
    <t>Có lưu thông tin đơn giản như danh sách điểm cao (0.25đ)</t>
  </si>
  <si>
    <t>Có lưu các thông tin màn chơi và cho phép người chơi tiếp tục khi mở lại game (0.5đ)</t>
  </si>
  <si>
    <t>Đa nền tảng
(Tối đa 0.5đ)</t>
  </si>
  <si>
    <t>Sử dụng game engine chỉ build trên 1 nền tảng (0đ)</t>
  </si>
  <si>
    <t>Sử dụng game engine cho build game trên nhiều nền khác nhau (0.25đ)</t>
  </si>
  <si>
    <t>Có xử lý nhập, xuất trên nhiều nên khác nhau như nhập từ phím, nhập từ cảm ứng (0.5đ)</t>
  </si>
  <si>
    <t>Âm thanh
(Tối đa 0.5đ)</t>
  </si>
  <si>
    <t>Không có âm thanh (0đ)</t>
  </si>
  <si>
    <t>Sử dụng âm thanh có sẵn trên mạng và làm theo hướng dẫn (0.25đ)</t>
  </si>
  <si>
    <t>Tự mình phối hợp âm thanh từ nhiều nguồn khác nhau vào game (0.3đ)</t>
  </si>
  <si>
    <t>Có ít nhất 5 loại âm thanh khác nhau (cộng 0.25đ)</t>
  </si>
  <si>
    <t>Có lập trình phát âm thanh trong các tình huống trong game như đánh, né, chết, … (cộng 0.25đ)</t>
  </si>
  <si>
    <t>Lưu ý: Âm thanh trong quá trình chơi game, không phải nhạc nền</t>
  </si>
  <si>
    <t>Menu trong game
(Tối đa 0.5đ)</t>
  </si>
  <si>
    <t>Không có menu (0đ)</t>
  </si>
  <si>
    <t>Có menu đơn giản (menu với vài sự lựa chọn và option đơn giản) (0.25đ)</t>
  </si>
  <si>
    <t>Menu với option phức tạp cho người dùng nhiều lựa chọn trong game (0.5đ)</t>
  </si>
  <si>
    <t>Vật lý, va chạm
(Tối đa 0.5đ)</t>
  </si>
  <si>
    <t>Game không có xử lý va chạm (0đ)</t>
  </si>
  <si>
    <t>Có xử lý va chạm hoặc trigger (0.25đ)</t>
  </si>
  <si>
    <t>Có hiệu ứng hoặc âm thanh khi va chạm hoặc có va chạm đàn hồi và va chạm xuyên qua (Cộng 0.25đ)</t>
  </si>
  <si>
    <t>Poster cho game
(Tối đa 0.5đ)</t>
  </si>
  <si>
    <t>Không có (0đ)</t>
  </si>
  <si>
    <t>Có poster nhưng sơ sài, xấu (0.25đ)</t>
  </si>
  <si>
    <t>Thiết kế đẹp, thể hiện rõ, đúng về game mình làm (0.5đ)</t>
  </si>
  <si>
    <r>
      <rPr>
        <rFont val="Times New Roman"/>
        <color rgb="FF000000"/>
        <sz val="12.0"/>
      </rPr>
      <t>Nộp thiếu định dạng (</t>
    </r>
    <r>
      <rPr>
        <rFont val="Times New Roman"/>
        <color rgb="FFFF0000"/>
        <sz val="12.0"/>
      </rPr>
      <t>-0.25đ</t>
    </r>
    <r>
      <rPr>
        <rFont val="Times New Roman"/>
        <color rgb="FF000000"/>
        <sz val="12.0"/>
      </rPr>
      <t>)</t>
    </r>
  </si>
  <si>
    <t>Video giới thiệu game
(Tối đa 0.5đ)</t>
  </si>
  <si>
    <t>Có video nhưng sơ sài (0.25đ)</t>
  </si>
  <si>
    <t>Video bắt mắt, thu hút người xem làm cho người xem muốn chơi thử game (0.5đ)</t>
  </si>
  <si>
    <r>
      <rPr>
        <rFont val="Times New Roman"/>
        <color rgb="FF000000"/>
        <sz val="12.0"/>
      </rPr>
      <t>Âm thanh và hình ảnh không khớp thì (-</t>
    </r>
    <r>
      <rPr>
        <rFont val="Times New Roman"/>
        <color rgb="FFFF0000"/>
        <sz val="12.0"/>
      </rPr>
      <t>0.25đ</t>
    </r>
    <r>
      <rPr>
        <rFont val="Times New Roman"/>
        <color rgb="FF000000"/>
        <sz val="12.0"/>
      </rPr>
      <t>)</t>
    </r>
  </si>
  <si>
    <t>Thực tế ảo (bonus)
(Tối đa 0.5đ)</t>
  </si>
  <si>
    <t>Có thể xem map game bằng kính thực tế ảo với nhiều góc nhìn khác nhau. (0.25đ)</t>
  </si>
  <si>
    <t>Có thể chơi game bằng kính thực tế ảo (0.5đ)</t>
  </si>
  <si>
    <t>TỔNG ĐIỂM</t>
  </si>
  <si>
    <t>10đ  (Nếu tổng lớn hơn 10 thì lấy 10)</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</si>
</sst>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Calibri"/>
      <scheme val="minor"/>
    </font>
    <font>
      <sz val="12.0"/>
      <color theme="1"/>
      <name val="Calibri"/>
    </font>
    <font>
      <color theme="1"/>
      <name val="Calibri"/>
      <scheme val="minor"/>
    </font>
    <font>
      <sz val="12.0"/>
      <color theme="1"/>
      <name val="Times New Roman"/>
    </font>
    <font>
      <b/>
      <sz val="12.0"/>
      <color theme="1"/>
      <name val="Calibri"/>
    </font>
    <font>
      <b/>
      <sz val="12.0"/>
      <color theme="1"/>
      <name val="Times New Roman"/>
    </font>
    <font/>
    <font>
      <b/>
      <sz val="12.0"/>
      <color rgb="FF000000"/>
      <name val="Times New Roman"/>
    </font>
    <font>
      <sz val="12.0"/>
      <color rgb="FF000000"/>
      <name val="Times New Roman"/>
    </font>
    <font>
      <sz val="12.0"/>
      <color rgb="FFFF0000"/>
      <name val="Times New Roman"/>
    </font>
  </fonts>
  <fills count="4">
    <fill>
      <patternFill patternType="none"/>
    </fill>
    <fill>
      <patternFill patternType="lightGray"/>
    </fill>
    <fill>
      <patternFill patternType="solid">
        <fgColor rgb="FFFFFF00"/>
        <bgColor rgb="FFFFFF00"/>
      </patternFill>
    </fill>
    <fill>
      <patternFill patternType="solid">
        <fgColor rgb="FFD0CECE"/>
        <bgColor rgb="FFD0CECE"/>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right"/>
    </xf>
    <xf borderId="1" fillId="2" fontId="1" numFmtId="0" xfId="0" applyBorder="1" applyFill="1" applyFont="1"/>
    <xf borderId="0" fillId="0" fontId="2" numFmtId="0" xfId="0" applyFont="1"/>
    <xf borderId="0" fillId="0" fontId="3" numFmtId="0" xfId="0" applyFont="1"/>
    <xf borderId="0" fillId="0" fontId="1" numFmtId="0" xfId="0" applyAlignment="1" applyFont="1">
      <alignment horizontal="center" vertical="center"/>
    </xf>
    <xf borderId="1" fillId="0" fontId="4" numFmtId="0" xfId="0" applyBorder="1" applyFont="1"/>
    <xf borderId="1" fillId="0" fontId="5" numFmtId="0" xfId="0" applyBorder="1" applyFont="1"/>
    <xf borderId="0" fillId="0" fontId="1" numFmtId="0" xfId="0" applyAlignment="1" applyFont="1">
      <alignment horizontal="left" vertical="center"/>
    </xf>
    <xf borderId="1" fillId="2" fontId="4" numFmtId="0" xfId="0" applyBorder="1" applyFont="1"/>
    <xf borderId="1" fillId="0" fontId="3" numFmtId="0" xfId="0" applyBorder="1" applyFont="1"/>
    <xf borderId="1" fillId="2" fontId="1" numFmtId="0" xfId="0" applyAlignment="1" applyBorder="1" applyFont="1">
      <alignment readingOrder="0"/>
    </xf>
    <xf borderId="2" fillId="0" fontId="5" numFmtId="0" xfId="0" applyAlignment="1" applyBorder="1" applyFont="1">
      <alignment horizontal="center"/>
    </xf>
    <xf borderId="3" fillId="0" fontId="6" numFmtId="0" xfId="0" applyBorder="1" applyFont="1"/>
    <xf borderId="4" fillId="0" fontId="5" numFmtId="0" xfId="0" applyAlignment="1" applyBorder="1" applyFont="1">
      <alignment horizontal="center" shrinkToFit="0" wrapText="1"/>
    </xf>
    <xf borderId="0" fillId="0" fontId="5" numFmtId="0" xfId="0" applyFont="1"/>
    <xf borderId="1" fillId="0" fontId="7" numFmtId="0" xfId="0" applyAlignment="1" applyBorder="1" applyFont="1">
      <alignment horizontal="center"/>
    </xf>
    <xf borderId="5" fillId="0" fontId="6" numFmtId="0" xfId="0" applyBorder="1" applyFont="1"/>
    <xf borderId="4" fillId="0" fontId="8" numFmtId="0" xfId="0" applyAlignment="1" applyBorder="1" applyFont="1">
      <alignment horizontal="center" shrinkToFit="0" vertical="center" wrapText="1"/>
    </xf>
    <xf borderId="1" fillId="0" fontId="8" numFmtId="0" xfId="0" applyAlignment="1" applyBorder="1" applyFont="1">
      <alignment shrinkToFit="0" wrapText="1"/>
    </xf>
    <xf borderId="1" fillId="2" fontId="3" numFmtId="0" xfId="0" applyBorder="1" applyFont="1"/>
    <xf borderId="0" fillId="0" fontId="9" numFmtId="0" xfId="0" applyAlignment="1" applyFont="1">
      <alignment horizontal="left" shrinkToFit="0" vertical="top" wrapText="1"/>
    </xf>
    <xf borderId="0" fillId="0" fontId="9" numFmtId="0" xfId="0" applyAlignment="1" applyFont="1">
      <alignment shrinkToFit="0" vertical="top" wrapText="1"/>
    </xf>
    <xf borderId="6" fillId="0" fontId="6" numFmtId="0" xfId="0" applyBorder="1" applyFont="1"/>
    <xf borderId="1" fillId="0" fontId="3" numFmtId="0" xfId="0" applyAlignment="1" applyBorder="1" applyFont="1">
      <alignment shrinkToFit="0" wrapText="1"/>
    </xf>
    <xf borderId="1" fillId="2" fontId="3" numFmtId="0" xfId="0" applyAlignment="1" applyBorder="1" applyFont="1">
      <alignment readingOrder="0"/>
    </xf>
    <xf borderId="1" fillId="3" fontId="8" numFmtId="0" xfId="0" applyBorder="1" applyFill="1" applyFont="1"/>
    <xf borderId="1" fillId="3" fontId="8" numFmtId="0" xfId="0" applyAlignment="1" applyBorder="1" applyFont="1">
      <alignment shrinkToFit="0" wrapText="1"/>
    </xf>
    <xf borderId="1" fillId="3"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xdr:colOff>
      <xdr:row>2</xdr:row>
      <xdr:rowOff>85725</xdr:rowOff>
    </xdr:from>
    <xdr:ext cx="7258050" cy="3867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67"/>
    <col customWidth="1" min="2" max="2" width="76.11"/>
    <col customWidth="1" min="3" max="6" width="10.89"/>
    <col customWidth="1" min="7" max="7" width="16.0"/>
    <col customWidth="1" min="8" max="8" width="17.33"/>
    <col customWidth="1" min="9" max="12" width="10.89"/>
    <col customWidth="1" min="13" max="13" width="13.89"/>
    <col customWidth="1" min="14" max="26" width="10.89"/>
  </cols>
  <sheetData>
    <row r="1" ht="15.75" customHeight="1">
      <c r="A1" s="1" t="s">
        <v>0</v>
      </c>
      <c r="B1" s="2" t="s">
        <v>1</v>
      </c>
      <c r="C1" s="3" t="s">
        <v>2</v>
      </c>
      <c r="D1" s="4"/>
      <c r="E1" s="4"/>
      <c r="F1" s="4"/>
      <c r="G1" s="4"/>
      <c r="H1" s="4"/>
      <c r="I1" s="4"/>
      <c r="J1" s="5"/>
      <c r="K1" s="4"/>
      <c r="L1" s="4"/>
      <c r="M1" s="4"/>
      <c r="N1" s="4"/>
      <c r="O1" s="4"/>
      <c r="P1" s="4"/>
      <c r="Q1" s="4"/>
      <c r="R1" s="4"/>
      <c r="S1" s="4"/>
      <c r="T1" s="4"/>
      <c r="U1" s="4"/>
      <c r="V1" s="4"/>
      <c r="W1" s="4"/>
      <c r="X1" s="4"/>
      <c r="Y1" s="4"/>
      <c r="Z1" s="4"/>
    </row>
    <row r="2" ht="15.75" customHeight="1">
      <c r="A2" s="1" t="s">
        <v>3</v>
      </c>
      <c r="B2" s="6" t="s">
        <v>4</v>
      </c>
      <c r="C2" s="6" t="s">
        <v>5</v>
      </c>
      <c r="D2" s="6" t="s">
        <v>6</v>
      </c>
      <c r="E2" s="6"/>
      <c r="F2" s="6" t="s">
        <v>7</v>
      </c>
      <c r="G2" s="7" t="s">
        <v>8</v>
      </c>
      <c r="H2" s="4"/>
      <c r="I2" s="4"/>
      <c r="J2" s="8" t="s">
        <v>9</v>
      </c>
      <c r="K2" s="4"/>
      <c r="L2" s="4"/>
      <c r="M2" s="4"/>
      <c r="N2" s="4"/>
      <c r="O2" s="4"/>
      <c r="P2" s="4"/>
      <c r="Q2" s="4"/>
      <c r="R2" s="4"/>
      <c r="S2" s="4"/>
      <c r="T2" s="4"/>
      <c r="U2" s="4"/>
      <c r="V2" s="4"/>
      <c r="W2" s="4"/>
      <c r="X2" s="4"/>
      <c r="Y2" s="4"/>
      <c r="Z2" s="4"/>
    </row>
    <row r="3" ht="15.75" customHeight="1">
      <c r="A3" s="4"/>
      <c r="B3" s="9" t="s">
        <v>10</v>
      </c>
      <c r="C3" s="9">
        <v>5.2300057E7</v>
      </c>
      <c r="D3" s="9"/>
      <c r="E3" s="9"/>
      <c r="F3" s="9"/>
      <c r="G3" s="10" t="s">
        <v>11</v>
      </c>
      <c r="H3" s="4"/>
      <c r="I3" s="4"/>
      <c r="J3" s="5"/>
      <c r="K3" s="4"/>
      <c r="L3" s="4"/>
      <c r="M3" s="4"/>
      <c r="N3" s="4"/>
      <c r="O3" s="4"/>
      <c r="P3" s="4"/>
      <c r="Q3" s="4"/>
      <c r="R3" s="4"/>
      <c r="S3" s="4"/>
      <c r="T3" s="4"/>
      <c r="U3" s="4"/>
      <c r="V3" s="4"/>
      <c r="W3" s="4"/>
      <c r="X3" s="4"/>
      <c r="Y3" s="4"/>
      <c r="Z3" s="4"/>
    </row>
    <row r="4" ht="15.75" customHeight="1">
      <c r="A4" s="4"/>
      <c r="B4" s="9" t="s">
        <v>12</v>
      </c>
      <c r="C4" s="9">
        <v>5.2300064E7</v>
      </c>
      <c r="D4" s="9"/>
      <c r="E4" s="9"/>
      <c r="F4" s="9"/>
      <c r="G4" s="10" t="s">
        <v>13</v>
      </c>
      <c r="H4" s="4"/>
      <c r="I4" s="4"/>
      <c r="J4" s="5"/>
      <c r="K4" s="4"/>
      <c r="L4" s="4"/>
      <c r="M4" s="4"/>
      <c r="N4" s="4"/>
      <c r="O4" s="4"/>
      <c r="P4" s="4"/>
      <c r="Q4" s="4"/>
      <c r="R4" s="4"/>
      <c r="S4" s="4"/>
      <c r="T4" s="4"/>
      <c r="U4" s="4"/>
      <c r="V4" s="4"/>
      <c r="W4" s="4"/>
      <c r="X4" s="4"/>
      <c r="Y4" s="4"/>
      <c r="Z4" s="4"/>
    </row>
    <row r="5" ht="15.75" customHeight="1">
      <c r="A5" s="4"/>
      <c r="B5" s="2" t="s">
        <v>14</v>
      </c>
      <c r="C5" s="11">
        <v>5.2300012E7</v>
      </c>
      <c r="D5" s="2"/>
      <c r="E5" s="2"/>
      <c r="F5" s="2"/>
      <c r="G5" s="10" t="s">
        <v>15</v>
      </c>
      <c r="H5" s="4"/>
      <c r="I5" s="4"/>
      <c r="J5" s="5"/>
      <c r="K5" s="4"/>
      <c r="L5" s="4"/>
      <c r="M5" s="4"/>
      <c r="N5" s="4"/>
      <c r="O5" s="4"/>
      <c r="P5" s="4"/>
      <c r="Q5" s="4"/>
      <c r="R5" s="4"/>
      <c r="S5" s="4"/>
      <c r="T5" s="4"/>
      <c r="U5" s="4"/>
      <c r="V5" s="4"/>
      <c r="W5" s="4"/>
      <c r="X5" s="4"/>
      <c r="Y5" s="4"/>
      <c r="Z5" s="4"/>
    </row>
    <row r="6" ht="15.75" customHeight="1">
      <c r="A6" s="4"/>
      <c r="B6" s="2"/>
      <c r="C6" s="2"/>
      <c r="D6" s="2"/>
      <c r="E6" s="2"/>
      <c r="F6" s="2"/>
      <c r="G6" s="10" t="s">
        <v>16</v>
      </c>
      <c r="H6" s="4"/>
      <c r="I6" s="4"/>
      <c r="J6" s="5"/>
      <c r="K6" s="4"/>
      <c r="L6" s="4"/>
      <c r="M6" s="4"/>
      <c r="N6" s="4"/>
      <c r="O6" s="4"/>
      <c r="P6" s="4"/>
      <c r="Q6" s="4"/>
      <c r="R6" s="4"/>
      <c r="S6" s="4"/>
      <c r="T6" s="4"/>
      <c r="U6" s="4"/>
      <c r="V6" s="4"/>
      <c r="W6" s="4"/>
      <c r="X6" s="4"/>
      <c r="Y6" s="4"/>
      <c r="Z6" s="4"/>
    </row>
    <row r="7" ht="15.75" customHeight="1">
      <c r="A7" s="4"/>
      <c r="B7" s="4"/>
      <c r="C7" s="4"/>
      <c r="D7" s="4"/>
      <c r="E7" s="4"/>
      <c r="F7" s="4"/>
      <c r="G7" s="4"/>
      <c r="H7" s="4"/>
      <c r="I7" s="4"/>
      <c r="J7" s="5"/>
      <c r="K7" s="4"/>
      <c r="L7" s="4"/>
      <c r="M7" s="4"/>
      <c r="N7" s="4"/>
      <c r="O7" s="4"/>
      <c r="P7" s="4"/>
      <c r="Q7" s="4"/>
      <c r="R7" s="4"/>
      <c r="S7" s="4"/>
      <c r="T7" s="4"/>
      <c r="U7" s="4"/>
      <c r="V7" s="4"/>
      <c r="W7" s="4"/>
      <c r="X7" s="4"/>
      <c r="Y7" s="4"/>
      <c r="Z7" s="4"/>
    </row>
    <row r="8" ht="15.75" customHeight="1">
      <c r="A8" s="12" t="s">
        <v>17</v>
      </c>
      <c r="B8" s="13"/>
      <c r="C8" s="14" t="s">
        <v>18</v>
      </c>
      <c r="D8" s="14" t="s">
        <v>19</v>
      </c>
      <c r="E8" s="14" t="s">
        <v>20</v>
      </c>
      <c r="F8" s="14" t="s">
        <v>21</v>
      </c>
      <c r="G8" s="15"/>
      <c r="H8" s="15"/>
      <c r="I8" s="4"/>
      <c r="J8" s="4"/>
      <c r="K8" s="4"/>
      <c r="L8" s="4"/>
      <c r="M8" s="4"/>
      <c r="N8" s="4"/>
      <c r="O8" s="4"/>
      <c r="P8" s="4"/>
      <c r="Q8" s="4"/>
      <c r="R8" s="4"/>
      <c r="S8" s="4"/>
      <c r="T8" s="4"/>
      <c r="U8" s="4"/>
      <c r="V8" s="4"/>
      <c r="W8" s="4"/>
      <c r="X8" s="4"/>
      <c r="Y8" s="4"/>
      <c r="Z8" s="4"/>
    </row>
    <row r="9" ht="15.75" customHeight="1">
      <c r="A9" s="16" t="s">
        <v>22</v>
      </c>
      <c r="B9" s="16" t="s">
        <v>23</v>
      </c>
      <c r="C9" s="17"/>
      <c r="D9" s="17"/>
      <c r="E9" s="17"/>
      <c r="F9" s="17"/>
      <c r="G9" s="4"/>
      <c r="H9" s="4"/>
      <c r="I9" s="4"/>
      <c r="J9" s="4"/>
      <c r="K9" s="4"/>
      <c r="L9" s="4"/>
      <c r="M9" s="4"/>
      <c r="N9" s="4"/>
      <c r="O9" s="4"/>
      <c r="P9" s="4"/>
      <c r="Q9" s="4"/>
      <c r="R9" s="4"/>
      <c r="S9" s="4"/>
      <c r="T9" s="4"/>
      <c r="U9" s="4"/>
      <c r="V9" s="4"/>
      <c r="W9" s="4"/>
      <c r="X9" s="4"/>
      <c r="Y9" s="4"/>
      <c r="Z9" s="4"/>
    </row>
    <row r="10" ht="16.5" customHeight="1">
      <c r="A10" s="18" t="s">
        <v>24</v>
      </c>
      <c r="B10" s="19" t="s">
        <v>25</v>
      </c>
      <c r="C10" s="20"/>
      <c r="D10" s="20"/>
      <c r="E10" s="20"/>
      <c r="F10" s="20"/>
      <c r="G10" s="4" t="str">
        <f>IF(OR(SUM(C10:C12)&gt;0.5,SUM(D10:D12)&gt;0.5,SUM(E10:E12)&gt;0.5,SUM(F10:F12)&gt;0.5),"Nhập sai, tối đa 0.5đ","")</f>
        <v/>
      </c>
      <c r="H10" s="21" t="s">
        <v>26</v>
      </c>
      <c r="J10" s="22"/>
      <c r="K10" s="22"/>
      <c r="L10" s="22"/>
      <c r="M10" s="22"/>
      <c r="N10" s="22"/>
      <c r="O10" s="22"/>
      <c r="P10" s="4"/>
      <c r="Q10" s="4"/>
      <c r="R10" s="4"/>
      <c r="S10" s="4"/>
      <c r="T10" s="4"/>
      <c r="U10" s="4"/>
      <c r="V10" s="4"/>
      <c r="W10" s="4"/>
      <c r="X10" s="4"/>
      <c r="Y10" s="4"/>
      <c r="Z10" s="4"/>
    </row>
    <row r="11" ht="15.75" customHeight="1">
      <c r="A11" s="23"/>
      <c r="B11" s="19" t="s">
        <v>27</v>
      </c>
      <c r="C11" s="20">
        <v>0.25</v>
      </c>
      <c r="D11" s="20">
        <v>0.25</v>
      </c>
      <c r="E11" s="20">
        <v>0.25</v>
      </c>
      <c r="F11" s="20"/>
      <c r="G11" s="4"/>
      <c r="J11" s="22"/>
      <c r="K11" s="22"/>
      <c r="L11" s="22"/>
      <c r="M11" s="22"/>
      <c r="N11" s="22"/>
      <c r="O11" s="22"/>
      <c r="P11" s="4"/>
      <c r="Q11" s="4"/>
      <c r="R11" s="4"/>
      <c r="S11" s="4"/>
      <c r="T11" s="4"/>
      <c r="U11" s="4"/>
      <c r="V11" s="4"/>
      <c r="W11" s="4"/>
      <c r="X11" s="4"/>
      <c r="Y11" s="4"/>
      <c r="Z11" s="4"/>
    </row>
    <row r="12" ht="15.75" customHeight="1">
      <c r="A12" s="17"/>
      <c r="B12" s="19" t="s">
        <v>28</v>
      </c>
      <c r="C12" s="20">
        <v>0.25</v>
      </c>
      <c r="D12" s="20">
        <v>0.25</v>
      </c>
      <c r="E12" s="20">
        <v>0.25</v>
      </c>
      <c r="F12" s="20"/>
      <c r="G12" s="4"/>
      <c r="J12" s="22"/>
      <c r="K12" s="22"/>
      <c r="L12" s="22"/>
      <c r="M12" s="22"/>
      <c r="N12" s="22"/>
      <c r="O12" s="22"/>
      <c r="P12" s="4"/>
      <c r="Q12" s="4"/>
      <c r="R12" s="4"/>
      <c r="S12" s="4"/>
      <c r="T12" s="4"/>
      <c r="U12" s="4"/>
      <c r="V12" s="4"/>
      <c r="W12" s="4"/>
      <c r="X12" s="4"/>
      <c r="Y12" s="4"/>
      <c r="Z12" s="4"/>
    </row>
    <row r="13" ht="16.5" customHeight="1">
      <c r="A13" s="18" t="s">
        <v>29</v>
      </c>
      <c r="B13" s="19" t="s">
        <v>30</v>
      </c>
      <c r="C13" s="20"/>
      <c r="D13" s="20"/>
      <c r="E13" s="20"/>
      <c r="F13" s="20"/>
      <c r="G13" s="4" t="str">
        <f>IF(OR(SUM(C13:C22)&gt;1.5,SUM(D13:D22)&gt;1.5,SUM(E13:E22)&gt;1.5,SUM(F13:F22)&gt;1.5),"Nhập sai, tối đa 1.5đ","")</f>
        <v/>
      </c>
      <c r="J13" s="22"/>
      <c r="K13" s="22"/>
      <c r="L13" s="22"/>
      <c r="M13" s="22"/>
      <c r="N13" s="22"/>
      <c r="O13" s="22"/>
      <c r="P13" s="4"/>
      <c r="Q13" s="4"/>
      <c r="R13" s="4"/>
      <c r="S13" s="4"/>
      <c r="T13" s="4"/>
      <c r="U13" s="4"/>
      <c r="V13" s="4"/>
      <c r="W13" s="4"/>
      <c r="X13" s="4"/>
      <c r="Y13" s="4"/>
      <c r="Z13" s="4"/>
    </row>
    <row r="14" ht="15.75" customHeight="1">
      <c r="A14" s="23"/>
      <c r="B14" s="19" t="s">
        <v>31</v>
      </c>
      <c r="C14" s="20"/>
      <c r="D14" s="20"/>
      <c r="E14" s="20"/>
      <c r="F14" s="20"/>
      <c r="G14" s="4"/>
      <c r="J14" s="22"/>
      <c r="K14" s="22"/>
      <c r="L14" s="22"/>
      <c r="M14" s="22"/>
      <c r="N14" s="22"/>
      <c r="O14" s="22"/>
      <c r="P14" s="4"/>
      <c r="Q14" s="4"/>
      <c r="R14" s="4"/>
      <c r="S14" s="4"/>
      <c r="T14" s="4"/>
      <c r="U14" s="4"/>
      <c r="V14" s="4"/>
      <c r="W14" s="4"/>
      <c r="X14" s="4"/>
      <c r="Y14" s="4"/>
      <c r="Z14" s="4"/>
    </row>
    <row r="15" ht="15.75" customHeight="1">
      <c r="A15" s="23"/>
      <c r="B15" s="19" t="s">
        <v>32</v>
      </c>
      <c r="C15" s="20"/>
      <c r="D15" s="20"/>
      <c r="E15" s="20"/>
      <c r="F15" s="20"/>
      <c r="G15" s="4"/>
      <c r="J15" s="22"/>
      <c r="K15" s="22"/>
      <c r="L15" s="22"/>
      <c r="M15" s="22"/>
      <c r="N15" s="4"/>
      <c r="O15" s="4"/>
      <c r="P15" s="4"/>
      <c r="Q15" s="4"/>
      <c r="R15" s="4"/>
      <c r="S15" s="4"/>
      <c r="T15" s="4"/>
      <c r="U15" s="4"/>
      <c r="V15" s="4"/>
      <c r="W15" s="4"/>
      <c r="X15" s="4"/>
      <c r="Y15" s="4"/>
      <c r="Z15" s="4"/>
    </row>
    <row r="16" ht="15.75" customHeight="1">
      <c r="A16" s="23"/>
      <c r="B16" s="19" t="s">
        <v>33</v>
      </c>
      <c r="C16" s="20">
        <v>0.75</v>
      </c>
      <c r="D16" s="20">
        <v>0.75</v>
      </c>
      <c r="E16" s="20">
        <v>0.75</v>
      </c>
      <c r="F16" s="20"/>
      <c r="G16" s="4"/>
      <c r="H16" s="22"/>
      <c r="I16" s="22"/>
      <c r="J16" s="4"/>
      <c r="K16" s="4"/>
      <c r="L16" s="4"/>
      <c r="M16" s="4"/>
      <c r="N16" s="4"/>
      <c r="O16" s="4"/>
      <c r="P16" s="4"/>
      <c r="Q16" s="4"/>
      <c r="R16" s="4"/>
      <c r="S16" s="4"/>
      <c r="T16" s="4"/>
      <c r="U16" s="4"/>
      <c r="V16" s="4"/>
      <c r="W16" s="4"/>
      <c r="X16" s="4"/>
      <c r="Y16" s="4"/>
      <c r="Z16" s="4"/>
    </row>
    <row r="17" ht="15.75" customHeight="1">
      <c r="A17" s="23"/>
      <c r="B17" s="19" t="s">
        <v>34</v>
      </c>
      <c r="C17" s="20">
        <v>0.25</v>
      </c>
      <c r="D17" s="20">
        <v>0.25</v>
      </c>
      <c r="E17" s="20">
        <v>0.25</v>
      </c>
      <c r="F17" s="20"/>
      <c r="G17" s="4"/>
      <c r="H17" s="22"/>
      <c r="I17" s="22"/>
      <c r="J17" s="4"/>
      <c r="K17" s="4"/>
      <c r="L17" s="4"/>
      <c r="M17" s="4"/>
      <c r="N17" s="4"/>
      <c r="O17" s="4"/>
      <c r="P17" s="4"/>
      <c r="Q17" s="4"/>
      <c r="R17" s="4"/>
      <c r="S17" s="4"/>
      <c r="T17" s="4"/>
      <c r="U17" s="4"/>
      <c r="V17" s="4"/>
      <c r="W17" s="4"/>
      <c r="X17" s="4"/>
      <c r="Y17" s="4"/>
      <c r="Z17" s="4"/>
    </row>
    <row r="18" ht="15.75" customHeight="1">
      <c r="A18" s="23"/>
      <c r="B18" s="19" t="s">
        <v>35</v>
      </c>
      <c r="C18" s="20">
        <v>0.25</v>
      </c>
      <c r="D18" s="20">
        <v>0.25</v>
      </c>
      <c r="E18" s="20">
        <v>0.25</v>
      </c>
      <c r="F18" s="20"/>
      <c r="G18" s="4"/>
      <c r="H18" s="22"/>
      <c r="I18" s="22"/>
      <c r="J18" s="4"/>
      <c r="K18" s="4"/>
      <c r="L18" s="4"/>
      <c r="M18" s="4"/>
      <c r="N18" s="4"/>
      <c r="O18" s="4"/>
      <c r="P18" s="4"/>
      <c r="Q18" s="4"/>
      <c r="R18" s="4"/>
      <c r="S18" s="4"/>
      <c r="T18" s="4"/>
      <c r="U18" s="4"/>
      <c r="V18" s="4"/>
      <c r="W18" s="4"/>
      <c r="X18" s="4"/>
      <c r="Y18" s="4"/>
      <c r="Z18" s="4"/>
    </row>
    <row r="19" ht="15.75" customHeight="1">
      <c r="A19" s="23"/>
      <c r="B19" s="19" t="s">
        <v>36</v>
      </c>
      <c r="C19" s="20">
        <v>0.25</v>
      </c>
      <c r="D19" s="20">
        <v>0.25</v>
      </c>
      <c r="E19" s="20">
        <v>0.25</v>
      </c>
      <c r="F19" s="20"/>
      <c r="G19" s="4"/>
      <c r="H19" s="22"/>
      <c r="I19" s="22"/>
      <c r="J19" s="4"/>
      <c r="K19" s="4"/>
      <c r="L19" s="4"/>
      <c r="M19" s="4"/>
      <c r="N19" s="4"/>
      <c r="O19" s="4"/>
      <c r="P19" s="4"/>
      <c r="Q19" s="4"/>
      <c r="R19" s="4"/>
      <c r="S19" s="4"/>
      <c r="T19" s="4"/>
      <c r="U19" s="4"/>
      <c r="V19" s="4"/>
      <c r="W19" s="4"/>
      <c r="X19" s="4"/>
      <c r="Y19" s="4"/>
      <c r="Z19" s="4"/>
    </row>
    <row r="20" ht="15.75" customHeight="1">
      <c r="A20" s="23"/>
      <c r="B20" s="19" t="s">
        <v>37</v>
      </c>
      <c r="C20" s="20"/>
      <c r="D20" s="20"/>
      <c r="E20" s="20"/>
      <c r="F20" s="20"/>
      <c r="G20" s="4"/>
      <c r="H20" s="22"/>
      <c r="I20" s="22"/>
      <c r="J20" s="4"/>
      <c r="K20" s="4"/>
      <c r="L20" s="4"/>
      <c r="M20" s="4"/>
      <c r="N20" s="4"/>
      <c r="O20" s="4"/>
      <c r="P20" s="4"/>
      <c r="Q20" s="4"/>
      <c r="R20" s="4"/>
      <c r="S20" s="4"/>
      <c r="T20" s="4"/>
      <c r="U20" s="4"/>
      <c r="V20" s="4"/>
      <c r="W20" s="4"/>
      <c r="X20" s="4"/>
      <c r="Y20" s="4"/>
      <c r="Z20" s="4"/>
    </row>
    <row r="21" ht="15.75" customHeight="1">
      <c r="A21" s="23"/>
      <c r="B21" s="19" t="s">
        <v>38</v>
      </c>
      <c r="C21" s="20"/>
      <c r="D21" s="20"/>
      <c r="E21" s="20"/>
      <c r="F21" s="20"/>
      <c r="G21" s="4"/>
      <c r="H21" s="22"/>
      <c r="I21" s="22"/>
      <c r="J21" s="4"/>
      <c r="K21" s="4"/>
      <c r="L21" s="4"/>
      <c r="M21" s="4"/>
      <c r="N21" s="4"/>
      <c r="O21" s="4"/>
      <c r="P21" s="4"/>
      <c r="Q21" s="4"/>
      <c r="R21" s="4"/>
      <c r="S21" s="4"/>
      <c r="T21" s="4"/>
      <c r="U21" s="4"/>
      <c r="V21" s="4"/>
      <c r="W21" s="4"/>
      <c r="X21" s="4"/>
      <c r="Y21" s="4"/>
      <c r="Z21" s="4"/>
    </row>
    <row r="22" ht="15.75" customHeight="1">
      <c r="A22" s="17"/>
      <c r="B22" s="19" t="s">
        <v>39</v>
      </c>
      <c r="C22" s="20"/>
      <c r="D22" s="20"/>
      <c r="E22" s="20"/>
      <c r="F22" s="20"/>
      <c r="G22" s="4"/>
      <c r="H22" s="4"/>
      <c r="I22" s="4"/>
      <c r="J22" s="4"/>
      <c r="K22" s="4"/>
      <c r="L22" s="4"/>
      <c r="M22" s="4"/>
      <c r="N22" s="4"/>
      <c r="O22" s="4"/>
      <c r="P22" s="4"/>
      <c r="Q22" s="4"/>
      <c r="R22" s="4"/>
      <c r="S22" s="4"/>
      <c r="T22" s="4"/>
      <c r="U22" s="4"/>
      <c r="V22" s="4"/>
      <c r="W22" s="4"/>
      <c r="X22" s="4"/>
      <c r="Y22" s="4"/>
      <c r="Z22" s="4"/>
    </row>
    <row r="23" ht="15.75" customHeight="1">
      <c r="A23" s="18" t="s">
        <v>40</v>
      </c>
      <c r="B23" s="19" t="s">
        <v>41</v>
      </c>
      <c r="C23" s="20"/>
      <c r="D23" s="20"/>
      <c r="E23" s="20"/>
      <c r="F23" s="20"/>
      <c r="G23" s="4" t="str">
        <f>IF(OR(SUM(C23:C31)&gt;1.25,SUM(D23:D31)&gt;1.25,SUM(E23:E31)&gt;1.25, SUM(F23:F31)&gt;1.25),"Nhập sai, tối đa 1.25đ","")</f>
        <v/>
      </c>
      <c r="H23" s="4"/>
      <c r="I23" s="4"/>
      <c r="J23" s="4"/>
      <c r="K23" s="4"/>
      <c r="L23" s="4"/>
      <c r="M23" s="4"/>
      <c r="N23" s="4"/>
      <c r="O23" s="4"/>
      <c r="P23" s="4"/>
      <c r="Q23" s="4"/>
      <c r="R23" s="4"/>
      <c r="S23" s="4"/>
      <c r="T23" s="4"/>
      <c r="U23" s="4"/>
      <c r="V23" s="4"/>
      <c r="W23" s="4"/>
      <c r="X23" s="4"/>
      <c r="Y23" s="4"/>
      <c r="Z23" s="4"/>
    </row>
    <row r="24" ht="15.75" customHeight="1">
      <c r="A24" s="23"/>
      <c r="B24" s="19" t="s">
        <v>42</v>
      </c>
      <c r="C24" s="20"/>
      <c r="D24" s="20"/>
      <c r="E24" s="20"/>
      <c r="F24" s="20"/>
      <c r="G24" s="4"/>
      <c r="H24" s="4"/>
      <c r="I24" s="4"/>
      <c r="J24" s="4"/>
      <c r="K24" s="4"/>
      <c r="L24" s="4"/>
      <c r="M24" s="4"/>
      <c r="N24" s="4"/>
      <c r="O24" s="4"/>
      <c r="P24" s="4"/>
      <c r="Q24" s="4"/>
      <c r="R24" s="4"/>
      <c r="S24" s="4"/>
      <c r="T24" s="4"/>
      <c r="U24" s="4"/>
      <c r="V24" s="4"/>
      <c r="W24" s="4"/>
      <c r="X24" s="4"/>
      <c r="Y24" s="4"/>
      <c r="Z24" s="4"/>
    </row>
    <row r="25" ht="15.75" customHeight="1">
      <c r="A25" s="23"/>
      <c r="B25" s="19" t="s">
        <v>43</v>
      </c>
      <c r="C25" s="20"/>
      <c r="D25" s="20"/>
      <c r="E25" s="20"/>
      <c r="F25" s="20"/>
      <c r="G25" s="4"/>
      <c r="H25" s="4"/>
      <c r="I25" s="4"/>
      <c r="J25" s="4"/>
      <c r="K25" s="4"/>
      <c r="L25" s="4"/>
      <c r="M25" s="4"/>
      <c r="N25" s="4"/>
      <c r="O25" s="4"/>
      <c r="P25" s="4"/>
      <c r="Q25" s="4"/>
      <c r="R25" s="4"/>
      <c r="S25" s="4"/>
      <c r="T25" s="4"/>
      <c r="U25" s="4"/>
      <c r="V25" s="4"/>
      <c r="W25" s="4"/>
      <c r="X25" s="4"/>
      <c r="Y25" s="4"/>
      <c r="Z25" s="4"/>
    </row>
    <row r="26" ht="15.75" customHeight="1">
      <c r="A26" s="23"/>
      <c r="B26" s="19" t="s">
        <v>44</v>
      </c>
      <c r="C26" s="20">
        <v>0.75</v>
      </c>
      <c r="D26" s="20">
        <v>0.75</v>
      </c>
      <c r="E26" s="20">
        <v>0.75</v>
      </c>
      <c r="F26" s="20"/>
      <c r="G26" s="4"/>
      <c r="H26" s="4"/>
      <c r="I26" s="4"/>
      <c r="J26" s="4"/>
      <c r="K26" s="4"/>
      <c r="L26" s="4"/>
      <c r="M26" s="4"/>
      <c r="N26" s="4"/>
      <c r="O26" s="4"/>
      <c r="P26" s="4"/>
      <c r="Q26" s="4"/>
      <c r="R26" s="4"/>
      <c r="S26" s="4"/>
      <c r="T26" s="4"/>
      <c r="U26" s="4"/>
      <c r="V26" s="4"/>
      <c r="W26" s="4"/>
      <c r="X26" s="4"/>
      <c r="Y26" s="4"/>
      <c r="Z26" s="4"/>
    </row>
    <row r="27" ht="15.75" customHeight="1">
      <c r="A27" s="23"/>
      <c r="B27" s="24"/>
      <c r="C27" s="20"/>
      <c r="D27" s="20"/>
      <c r="E27" s="20"/>
      <c r="F27" s="20"/>
      <c r="G27" s="4"/>
      <c r="H27" s="4"/>
      <c r="I27" s="4"/>
      <c r="J27" s="4"/>
      <c r="K27" s="4"/>
      <c r="L27" s="4"/>
      <c r="M27" s="4"/>
      <c r="N27" s="4"/>
      <c r="O27" s="4"/>
      <c r="P27" s="4"/>
      <c r="Q27" s="4"/>
      <c r="R27" s="4"/>
      <c r="S27" s="4"/>
      <c r="T27" s="4"/>
      <c r="U27" s="4"/>
      <c r="V27" s="4"/>
      <c r="W27" s="4"/>
      <c r="X27" s="4"/>
      <c r="Y27" s="4"/>
      <c r="Z27" s="4"/>
    </row>
    <row r="28" ht="15.75" customHeight="1">
      <c r="A28" s="23"/>
      <c r="B28" s="19" t="s">
        <v>45</v>
      </c>
      <c r="C28" s="20">
        <v>0.25</v>
      </c>
      <c r="D28" s="20">
        <v>0.25</v>
      </c>
      <c r="E28" s="20">
        <v>0.25</v>
      </c>
      <c r="F28" s="20"/>
      <c r="G28" s="4"/>
      <c r="H28" s="4"/>
      <c r="I28" s="4"/>
      <c r="J28" s="4"/>
      <c r="K28" s="4"/>
      <c r="L28" s="4"/>
      <c r="M28" s="4"/>
      <c r="N28" s="4"/>
      <c r="O28" s="4"/>
      <c r="P28" s="4"/>
      <c r="Q28" s="4"/>
      <c r="R28" s="4"/>
      <c r="S28" s="4"/>
      <c r="T28" s="4"/>
      <c r="U28" s="4"/>
      <c r="V28" s="4"/>
      <c r="W28" s="4"/>
      <c r="X28" s="4"/>
      <c r="Y28" s="4"/>
      <c r="Z28" s="4"/>
    </row>
    <row r="29" ht="15.75" customHeight="1">
      <c r="A29" s="23"/>
      <c r="B29" s="19" t="s">
        <v>46</v>
      </c>
      <c r="C29" s="20">
        <v>0.25</v>
      </c>
      <c r="D29" s="20">
        <v>0.25</v>
      </c>
      <c r="E29" s="20">
        <v>0.25</v>
      </c>
      <c r="F29" s="20"/>
      <c r="G29" s="4"/>
      <c r="H29" s="4"/>
      <c r="I29" s="4"/>
      <c r="J29" s="4"/>
      <c r="K29" s="4"/>
      <c r="L29" s="4"/>
      <c r="M29" s="4"/>
      <c r="N29" s="4"/>
      <c r="O29" s="4"/>
      <c r="P29" s="4"/>
      <c r="Q29" s="4"/>
      <c r="R29" s="4"/>
      <c r="S29" s="4"/>
      <c r="T29" s="4"/>
      <c r="U29" s="4"/>
      <c r="V29" s="4"/>
      <c r="W29" s="4"/>
      <c r="X29" s="4"/>
      <c r="Y29" s="4"/>
      <c r="Z29" s="4"/>
    </row>
    <row r="30" ht="15.75" customHeight="1">
      <c r="A30" s="23"/>
      <c r="B30" s="19" t="s">
        <v>47</v>
      </c>
      <c r="C30" s="20"/>
      <c r="D30" s="20"/>
      <c r="E30" s="20"/>
      <c r="F30" s="20"/>
      <c r="G30" s="4"/>
      <c r="H30" s="4"/>
      <c r="I30" s="4"/>
      <c r="J30" s="4"/>
      <c r="K30" s="4"/>
      <c r="L30" s="4"/>
      <c r="M30" s="4"/>
      <c r="N30" s="4"/>
      <c r="O30" s="4"/>
      <c r="P30" s="4"/>
      <c r="Q30" s="4"/>
      <c r="R30" s="4"/>
      <c r="S30" s="4"/>
      <c r="T30" s="4"/>
      <c r="U30" s="4"/>
      <c r="V30" s="4"/>
      <c r="W30" s="4"/>
      <c r="X30" s="4"/>
      <c r="Y30" s="4"/>
      <c r="Z30" s="4"/>
    </row>
    <row r="31" ht="15.75" customHeight="1">
      <c r="A31" s="17"/>
      <c r="B31" s="19" t="s">
        <v>48</v>
      </c>
      <c r="C31" s="20"/>
      <c r="D31" s="20"/>
      <c r="E31" s="20"/>
      <c r="F31" s="20"/>
      <c r="G31" s="4"/>
      <c r="H31" s="4"/>
      <c r="I31" s="4"/>
      <c r="J31" s="4"/>
      <c r="K31" s="4"/>
      <c r="L31" s="4"/>
      <c r="M31" s="4"/>
      <c r="N31" s="4"/>
      <c r="O31" s="4"/>
      <c r="P31" s="4"/>
      <c r="Q31" s="4"/>
      <c r="R31" s="4"/>
      <c r="S31" s="4"/>
      <c r="T31" s="4"/>
      <c r="U31" s="4"/>
      <c r="V31" s="4"/>
      <c r="W31" s="4"/>
      <c r="X31" s="4"/>
      <c r="Y31" s="4"/>
      <c r="Z31" s="4"/>
    </row>
    <row r="32" ht="15.75" customHeight="1">
      <c r="A32" s="18" t="s">
        <v>49</v>
      </c>
      <c r="B32" s="19" t="s">
        <v>50</v>
      </c>
      <c r="C32" s="20"/>
      <c r="D32" s="20"/>
      <c r="E32" s="20"/>
      <c r="F32" s="20"/>
      <c r="G32" s="4" t="str">
        <f>IF(OR(SUM(C32:C34)&gt;0.5,SUM(D32:D34)&gt;0.5,SUM(E32:E34)&gt;0.5,SUM(F32:F34)&gt;0.5),"Nhập sai, tối đa 0.5đ","")</f>
        <v/>
      </c>
      <c r="H32" s="4"/>
      <c r="I32" s="4"/>
      <c r="J32" s="4"/>
      <c r="K32" s="4"/>
      <c r="L32" s="4"/>
      <c r="M32" s="4"/>
      <c r="N32" s="4"/>
      <c r="O32" s="4"/>
      <c r="P32" s="4"/>
      <c r="Q32" s="4"/>
      <c r="R32" s="4"/>
      <c r="S32" s="4"/>
      <c r="T32" s="4"/>
      <c r="U32" s="4"/>
      <c r="V32" s="4"/>
      <c r="W32" s="4"/>
      <c r="X32" s="4"/>
      <c r="Y32" s="4"/>
      <c r="Z32" s="4"/>
    </row>
    <row r="33" ht="15.75" customHeight="1">
      <c r="A33" s="23"/>
      <c r="B33" s="19" t="s">
        <v>51</v>
      </c>
      <c r="C33" s="20">
        <v>0.25</v>
      </c>
      <c r="D33" s="20">
        <v>0.25</v>
      </c>
      <c r="E33" s="20">
        <v>0.25</v>
      </c>
      <c r="F33" s="20"/>
      <c r="G33" s="4"/>
      <c r="H33" s="4"/>
      <c r="I33" s="4"/>
      <c r="J33" s="4"/>
      <c r="K33" s="4"/>
      <c r="L33" s="4"/>
      <c r="M33" s="4"/>
      <c r="N33" s="4"/>
      <c r="O33" s="4"/>
      <c r="P33" s="4"/>
      <c r="Q33" s="4"/>
      <c r="R33" s="4"/>
      <c r="S33" s="4"/>
      <c r="T33" s="4"/>
      <c r="U33" s="4"/>
      <c r="V33" s="4"/>
      <c r="W33" s="4"/>
      <c r="X33" s="4"/>
      <c r="Y33" s="4"/>
      <c r="Z33" s="4"/>
    </row>
    <row r="34" ht="15.75" customHeight="1">
      <c r="A34" s="17"/>
      <c r="B34" s="19" t="s">
        <v>52</v>
      </c>
      <c r="C34" s="20"/>
      <c r="D34" s="20"/>
      <c r="E34" s="20"/>
      <c r="F34" s="20"/>
      <c r="G34" s="4"/>
      <c r="H34" s="4"/>
      <c r="I34" s="4"/>
      <c r="J34" s="4"/>
      <c r="K34" s="4"/>
      <c r="L34" s="4"/>
      <c r="M34" s="4"/>
      <c r="N34" s="4"/>
      <c r="O34" s="4"/>
      <c r="P34" s="4"/>
      <c r="Q34" s="4"/>
      <c r="R34" s="4"/>
      <c r="S34" s="4"/>
      <c r="T34" s="4"/>
      <c r="U34" s="4"/>
      <c r="V34" s="4"/>
      <c r="W34" s="4"/>
      <c r="X34" s="4"/>
      <c r="Y34" s="4"/>
      <c r="Z34" s="4"/>
    </row>
    <row r="35" ht="15.75" customHeight="1">
      <c r="A35" s="18" t="s">
        <v>53</v>
      </c>
      <c r="B35" s="19" t="s">
        <v>54</v>
      </c>
      <c r="C35" s="20"/>
      <c r="D35" s="20"/>
      <c r="E35" s="20"/>
      <c r="F35" s="20"/>
      <c r="G35" s="4" t="str">
        <f>IF(OR(SUM(C35:C38)&gt;0.75,SUM(D35:D38)&gt;0.75,SUM(E35:E38)&gt;0.75,SUM(F35:F38)&gt;0.75),"Nhập sai, tối đa 0.75đ","")</f>
        <v/>
      </c>
      <c r="H35" s="4"/>
      <c r="I35" s="4"/>
      <c r="J35" s="4"/>
      <c r="K35" s="4"/>
      <c r="L35" s="4"/>
      <c r="M35" s="4"/>
      <c r="N35" s="4"/>
      <c r="O35" s="4"/>
      <c r="P35" s="4"/>
      <c r="Q35" s="4"/>
      <c r="R35" s="4"/>
      <c r="S35" s="4"/>
      <c r="T35" s="4"/>
      <c r="U35" s="4"/>
      <c r="V35" s="4"/>
      <c r="W35" s="4"/>
      <c r="X35" s="4"/>
      <c r="Y35" s="4"/>
      <c r="Z35" s="4"/>
    </row>
    <row r="36" ht="15.75" customHeight="1">
      <c r="A36" s="23"/>
      <c r="B36" s="19" t="s">
        <v>55</v>
      </c>
      <c r="C36" s="20">
        <v>0.5</v>
      </c>
      <c r="D36" s="20">
        <v>0.5</v>
      </c>
      <c r="E36" s="20">
        <v>0.5</v>
      </c>
      <c r="F36" s="20"/>
      <c r="G36" s="4"/>
      <c r="H36" s="4"/>
      <c r="I36" s="4"/>
      <c r="J36" s="4"/>
      <c r="K36" s="4"/>
      <c r="L36" s="4"/>
      <c r="M36" s="4"/>
      <c r="N36" s="4"/>
      <c r="O36" s="4"/>
      <c r="P36" s="4"/>
      <c r="Q36" s="4"/>
      <c r="R36" s="4"/>
      <c r="S36" s="4"/>
      <c r="T36" s="4"/>
      <c r="U36" s="4"/>
      <c r="V36" s="4"/>
      <c r="W36" s="4"/>
      <c r="X36" s="4"/>
      <c r="Y36" s="4"/>
      <c r="Z36" s="4"/>
    </row>
    <row r="37" ht="15.75" customHeight="1">
      <c r="A37" s="23"/>
      <c r="B37" s="19" t="s">
        <v>56</v>
      </c>
      <c r="C37" s="20"/>
      <c r="D37" s="20"/>
      <c r="E37" s="20"/>
      <c r="F37" s="20"/>
      <c r="G37" s="4"/>
      <c r="H37" s="4"/>
      <c r="I37" s="4"/>
      <c r="J37" s="4"/>
      <c r="K37" s="4"/>
      <c r="L37" s="4"/>
      <c r="M37" s="4"/>
      <c r="N37" s="4"/>
      <c r="O37" s="4"/>
      <c r="P37" s="4"/>
      <c r="Q37" s="4"/>
      <c r="R37" s="4"/>
      <c r="S37" s="4"/>
      <c r="T37" s="4"/>
      <c r="U37" s="4"/>
      <c r="V37" s="4"/>
      <c r="W37" s="4"/>
      <c r="X37" s="4"/>
      <c r="Y37" s="4"/>
      <c r="Z37" s="4"/>
    </row>
    <row r="38" ht="15.75" customHeight="1">
      <c r="A38" s="17"/>
      <c r="B38" s="19" t="s">
        <v>57</v>
      </c>
      <c r="C38" s="20"/>
      <c r="D38" s="20"/>
      <c r="E38" s="20"/>
      <c r="F38" s="20"/>
      <c r="G38" s="4"/>
      <c r="H38" s="4"/>
      <c r="I38" s="4"/>
      <c r="J38" s="4"/>
      <c r="K38" s="4"/>
      <c r="L38" s="4"/>
      <c r="M38" s="4"/>
      <c r="N38" s="4"/>
      <c r="O38" s="4"/>
      <c r="P38" s="4"/>
      <c r="Q38" s="4"/>
      <c r="R38" s="4"/>
      <c r="S38" s="4"/>
      <c r="T38" s="4"/>
      <c r="U38" s="4"/>
      <c r="V38" s="4"/>
      <c r="W38" s="4"/>
      <c r="X38" s="4"/>
      <c r="Y38" s="4"/>
      <c r="Z38" s="4"/>
    </row>
    <row r="39" ht="15.75" customHeight="1">
      <c r="A39" s="18" t="s">
        <v>58</v>
      </c>
      <c r="B39" s="19" t="s">
        <v>59</v>
      </c>
      <c r="C39" s="20"/>
      <c r="D39" s="20"/>
      <c r="E39" s="20"/>
      <c r="F39" s="20"/>
      <c r="G39" s="4" t="str">
        <f>IF(OR(SUM(C39:C44)&gt;0.75,SUM(D39:D44)&gt;0.75,SUM(E39:E44)&gt;0.75,SUM(F39:F44)&gt;0.75),"Nhập sai, tối đa 0.75đ","")</f>
        <v/>
      </c>
      <c r="H39" s="4"/>
      <c r="I39" s="4"/>
      <c r="J39" s="4"/>
      <c r="K39" s="4"/>
      <c r="L39" s="4"/>
      <c r="M39" s="4"/>
      <c r="N39" s="4"/>
      <c r="O39" s="4"/>
      <c r="P39" s="4"/>
      <c r="Q39" s="4"/>
      <c r="R39" s="4"/>
      <c r="S39" s="4"/>
      <c r="T39" s="4"/>
      <c r="U39" s="4"/>
      <c r="V39" s="4"/>
      <c r="W39" s="4"/>
      <c r="X39" s="4"/>
      <c r="Y39" s="4"/>
      <c r="Z39" s="4"/>
    </row>
    <row r="40" ht="15.75" customHeight="1">
      <c r="A40" s="23"/>
      <c r="B40" s="19" t="s">
        <v>60</v>
      </c>
      <c r="C40" s="20"/>
      <c r="D40" s="20"/>
      <c r="E40" s="20"/>
      <c r="F40" s="20"/>
      <c r="G40" s="4"/>
      <c r="H40" s="4"/>
      <c r="I40" s="4"/>
      <c r="J40" s="4"/>
      <c r="K40" s="4"/>
      <c r="L40" s="4"/>
      <c r="M40" s="4"/>
      <c r="N40" s="4"/>
      <c r="O40" s="4"/>
      <c r="P40" s="4"/>
      <c r="Q40" s="4"/>
      <c r="R40" s="4"/>
      <c r="S40" s="4"/>
      <c r="T40" s="4"/>
      <c r="U40" s="4"/>
      <c r="V40" s="4"/>
      <c r="W40" s="4"/>
      <c r="X40" s="4"/>
      <c r="Y40" s="4"/>
      <c r="Z40" s="4"/>
    </row>
    <row r="41" ht="15.75" customHeight="1">
      <c r="A41" s="23"/>
      <c r="B41" s="19" t="s">
        <v>61</v>
      </c>
      <c r="C41" s="20">
        <v>0.5</v>
      </c>
      <c r="D41" s="20">
        <v>0.5</v>
      </c>
      <c r="E41" s="20">
        <v>0.5</v>
      </c>
      <c r="F41" s="20"/>
      <c r="G41" s="4"/>
      <c r="H41" s="4"/>
      <c r="I41" s="4"/>
      <c r="J41" s="4"/>
      <c r="K41" s="4"/>
      <c r="L41" s="4"/>
      <c r="M41" s="4"/>
      <c r="N41" s="4"/>
      <c r="O41" s="4"/>
      <c r="P41" s="4"/>
      <c r="Q41" s="4"/>
      <c r="R41" s="4"/>
      <c r="S41" s="4"/>
      <c r="T41" s="4"/>
      <c r="U41" s="4"/>
      <c r="V41" s="4"/>
      <c r="W41" s="4"/>
      <c r="X41" s="4"/>
      <c r="Y41" s="4"/>
      <c r="Z41" s="4"/>
    </row>
    <row r="42" ht="15.75" customHeight="1">
      <c r="A42" s="23"/>
      <c r="B42" s="19" t="s">
        <v>62</v>
      </c>
      <c r="C42" s="20"/>
      <c r="D42" s="20"/>
      <c r="E42" s="20"/>
      <c r="F42" s="20"/>
      <c r="G42" s="4"/>
      <c r="H42" s="4"/>
      <c r="I42" s="4"/>
      <c r="J42" s="4"/>
      <c r="K42" s="4"/>
      <c r="L42" s="4"/>
      <c r="M42" s="4"/>
      <c r="N42" s="4"/>
      <c r="O42" s="4"/>
      <c r="P42" s="4"/>
      <c r="Q42" s="4"/>
      <c r="R42" s="4"/>
      <c r="S42" s="4"/>
      <c r="T42" s="4"/>
      <c r="U42" s="4"/>
      <c r="V42" s="4"/>
      <c r="W42" s="4"/>
      <c r="X42" s="4"/>
      <c r="Y42" s="4"/>
      <c r="Z42" s="4"/>
    </row>
    <row r="43" ht="15.75" customHeight="1">
      <c r="A43" s="23"/>
      <c r="B43" s="19" t="s">
        <v>63</v>
      </c>
      <c r="C43" s="20">
        <v>0.25</v>
      </c>
      <c r="D43" s="20">
        <v>0.25</v>
      </c>
      <c r="E43" s="20">
        <v>0.25</v>
      </c>
      <c r="F43" s="20"/>
      <c r="G43" s="4"/>
      <c r="H43" s="4"/>
      <c r="I43" s="4"/>
      <c r="J43" s="4"/>
      <c r="K43" s="4"/>
      <c r="L43" s="4"/>
      <c r="M43" s="4"/>
      <c r="N43" s="4"/>
      <c r="O43" s="4"/>
      <c r="P43" s="4"/>
      <c r="Q43" s="4"/>
      <c r="R43" s="4"/>
      <c r="S43" s="4"/>
      <c r="T43" s="4"/>
      <c r="U43" s="4"/>
      <c r="V43" s="4"/>
      <c r="W43" s="4"/>
      <c r="X43" s="4"/>
      <c r="Y43" s="4"/>
      <c r="Z43" s="4"/>
    </row>
    <row r="44" ht="15.75" customHeight="1">
      <c r="A44" s="17"/>
      <c r="B44" s="19" t="s">
        <v>64</v>
      </c>
      <c r="C44" s="20"/>
      <c r="D44" s="20"/>
      <c r="E44" s="20"/>
      <c r="F44" s="20"/>
      <c r="G44" s="4"/>
      <c r="H44" s="4"/>
      <c r="I44" s="4"/>
      <c r="J44" s="4"/>
      <c r="K44" s="4"/>
      <c r="L44" s="4"/>
      <c r="M44" s="4"/>
      <c r="N44" s="4"/>
      <c r="O44" s="4"/>
      <c r="P44" s="4"/>
      <c r="Q44" s="4"/>
      <c r="R44" s="4"/>
      <c r="S44" s="4"/>
      <c r="T44" s="4"/>
      <c r="U44" s="4"/>
      <c r="V44" s="4"/>
      <c r="W44" s="4"/>
      <c r="X44" s="4"/>
      <c r="Y44" s="4"/>
      <c r="Z44" s="4"/>
    </row>
    <row r="45" ht="15.75" customHeight="1">
      <c r="A45" s="18" t="s">
        <v>65</v>
      </c>
      <c r="B45" s="19" t="s">
        <v>66</v>
      </c>
      <c r="C45" s="20"/>
      <c r="D45" s="20"/>
      <c r="E45" s="20"/>
      <c r="F45" s="20"/>
      <c r="G45" s="4" t="str">
        <f>IF(OR(SUM(C45:C49)&gt;0.75,SUM(D45:D49)&gt;0.75,SUM(E45:E49)&gt;0.75,SUM(F45:F49)&gt;0.75),"Nhập sai, tối đa 0.75đ","")</f>
        <v/>
      </c>
      <c r="H45" s="4"/>
      <c r="I45" s="4"/>
      <c r="J45" s="4"/>
      <c r="K45" s="4"/>
      <c r="L45" s="4"/>
      <c r="M45" s="4"/>
      <c r="N45" s="4"/>
      <c r="O45" s="4"/>
      <c r="P45" s="4"/>
      <c r="Q45" s="4"/>
      <c r="R45" s="4"/>
      <c r="S45" s="4"/>
      <c r="T45" s="4"/>
      <c r="U45" s="4"/>
      <c r="V45" s="4"/>
      <c r="W45" s="4"/>
      <c r="X45" s="4"/>
      <c r="Y45" s="4"/>
      <c r="Z45" s="4"/>
    </row>
    <row r="46" ht="15.75" customHeight="1">
      <c r="A46" s="23"/>
      <c r="B46" s="19" t="s">
        <v>67</v>
      </c>
      <c r="C46" s="20"/>
      <c r="D46" s="20"/>
      <c r="E46" s="20"/>
      <c r="F46" s="20"/>
      <c r="G46" s="4"/>
      <c r="H46" s="4"/>
      <c r="I46" s="4"/>
      <c r="J46" s="4"/>
      <c r="K46" s="4"/>
      <c r="L46" s="4"/>
      <c r="M46" s="4"/>
      <c r="N46" s="4"/>
      <c r="O46" s="4"/>
      <c r="P46" s="4"/>
      <c r="Q46" s="4"/>
      <c r="R46" s="4"/>
      <c r="S46" s="4"/>
      <c r="T46" s="4"/>
      <c r="U46" s="4"/>
      <c r="V46" s="4"/>
      <c r="W46" s="4"/>
      <c r="X46" s="4"/>
      <c r="Y46" s="4"/>
      <c r="Z46" s="4"/>
    </row>
    <row r="47" ht="15.75" customHeight="1">
      <c r="A47" s="23"/>
      <c r="B47" s="19" t="s">
        <v>68</v>
      </c>
      <c r="C47" s="20">
        <v>0.5</v>
      </c>
      <c r="D47" s="20">
        <v>0.5</v>
      </c>
      <c r="E47" s="20">
        <v>0.5</v>
      </c>
      <c r="F47" s="20"/>
      <c r="G47" s="4"/>
      <c r="H47" s="4"/>
      <c r="I47" s="4"/>
      <c r="J47" s="4"/>
      <c r="K47" s="4"/>
      <c r="L47" s="4"/>
      <c r="M47" s="4"/>
      <c r="N47" s="4"/>
      <c r="O47" s="4"/>
      <c r="P47" s="4"/>
      <c r="Q47" s="4"/>
      <c r="R47" s="4"/>
      <c r="S47" s="4"/>
      <c r="T47" s="4"/>
      <c r="U47" s="4"/>
      <c r="V47" s="4"/>
      <c r="W47" s="4"/>
      <c r="X47" s="4"/>
      <c r="Y47" s="4"/>
      <c r="Z47" s="4"/>
    </row>
    <row r="48" ht="15.75" customHeight="1">
      <c r="A48" s="23"/>
      <c r="B48" s="19" t="s">
        <v>69</v>
      </c>
      <c r="C48" s="20">
        <v>0.25</v>
      </c>
      <c r="D48" s="20">
        <v>0.25</v>
      </c>
      <c r="E48" s="20">
        <v>0.25</v>
      </c>
      <c r="F48" s="20"/>
      <c r="G48" s="4"/>
      <c r="H48" s="4"/>
      <c r="I48" s="4"/>
      <c r="J48" s="4"/>
      <c r="K48" s="4"/>
      <c r="L48" s="4"/>
      <c r="M48" s="4"/>
      <c r="N48" s="4"/>
      <c r="O48" s="4"/>
      <c r="P48" s="4"/>
      <c r="Q48" s="4"/>
      <c r="R48" s="4"/>
      <c r="S48" s="4"/>
      <c r="T48" s="4"/>
      <c r="U48" s="4"/>
      <c r="V48" s="4"/>
      <c r="W48" s="4"/>
      <c r="X48" s="4"/>
      <c r="Y48" s="4"/>
      <c r="Z48" s="4"/>
    </row>
    <row r="49" ht="15.75" customHeight="1">
      <c r="A49" s="17"/>
      <c r="B49" s="19" t="s">
        <v>70</v>
      </c>
      <c r="C49" s="20"/>
      <c r="D49" s="20"/>
      <c r="E49" s="20"/>
      <c r="F49" s="20"/>
      <c r="G49" s="4"/>
      <c r="H49" s="4"/>
      <c r="I49" s="4"/>
      <c r="J49" s="4"/>
      <c r="K49" s="4"/>
      <c r="L49" s="4"/>
      <c r="M49" s="4"/>
      <c r="N49" s="4"/>
      <c r="O49" s="4"/>
      <c r="P49" s="4"/>
      <c r="Q49" s="4"/>
      <c r="R49" s="4"/>
      <c r="S49" s="4"/>
      <c r="T49" s="4"/>
      <c r="U49" s="4"/>
      <c r="V49" s="4"/>
      <c r="W49" s="4"/>
      <c r="X49" s="4"/>
      <c r="Y49" s="4"/>
      <c r="Z49" s="4"/>
    </row>
    <row r="50" ht="15.75" customHeight="1">
      <c r="A50" s="18" t="s">
        <v>71</v>
      </c>
      <c r="B50" s="19" t="s">
        <v>72</v>
      </c>
      <c r="C50" s="20"/>
      <c r="D50" s="20"/>
      <c r="E50" s="20"/>
      <c r="F50" s="20"/>
      <c r="G50" s="4" t="str">
        <f>IF(OR(SUM(C50:C54)&gt;0.5,SUM(D50:D54)&gt;0.5,SUM(E50:E54)&gt;0.5,SUM(F50:F54)&gt;0.5),"Nhập sai, tối đa 0.5đ","")</f>
        <v/>
      </c>
      <c r="H50" s="4"/>
      <c r="I50" s="4"/>
      <c r="J50" s="4"/>
      <c r="K50" s="4"/>
      <c r="L50" s="4"/>
      <c r="M50" s="4"/>
      <c r="N50" s="4"/>
      <c r="O50" s="4"/>
      <c r="P50" s="4"/>
      <c r="Q50" s="4"/>
      <c r="R50" s="4"/>
      <c r="S50" s="4"/>
      <c r="T50" s="4"/>
      <c r="U50" s="4"/>
      <c r="V50" s="4"/>
      <c r="W50" s="4"/>
      <c r="X50" s="4"/>
      <c r="Y50" s="4"/>
      <c r="Z50" s="4"/>
    </row>
    <row r="51" ht="15.75" customHeight="1">
      <c r="A51" s="23"/>
      <c r="B51" s="19" t="s">
        <v>73</v>
      </c>
      <c r="C51" s="20">
        <v>0.25</v>
      </c>
      <c r="D51" s="20">
        <v>0.25</v>
      </c>
      <c r="E51" s="20">
        <v>0.25</v>
      </c>
      <c r="F51" s="20"/>
      <c r="G51" s="4"/>
      <c r="H51" s="4"/>
      <c r="I51" s="4"/>
      <c r="J51" s="4"/>
      <c r="K51" s="4"/>
      <c r="L51" s="4"/>
      <c r="M51" s="4"/>
      <c r="N51" s="4"/>
      <c r="O51" s="4"/>
      <c r="P51" s="4"/>
      <c r="Q51" s="4"/>
      <c r="R51" s="4"/>
      <c r="S51" s="4"/>
      <c r="T51" s="4"/>
      <c r="U51" s="4"/>
      <c r="V51" s="4"/>
      <c r="W51" s="4"/>
      <c r="X51" s="4"/>
      <c r="Y51" s="4"/>
      <c r="Z51" s="4"/>
    </row>
    <row r="52" ht="15.75" customHeight="1">
      <c r="A52" s="23"/>
      <c r="B52" s="19" t="s">
        <v>74</v>
      </c>
      <c r="C52" s="20"/>
      <c r="D52" s="20"/>
      <c r="E52" s="20"/>
      <c r="F52" s="20"/>
      <c r="G52" s="4"/>
      <c r="H52" s="4"/>
      <c r="I52" s="4"/>
      <c r="J52" s="4"/>
      <c r="K52" s="4"/>
      <c r="L52" s="4"/>
      <c r="M52" s="4"/>
      <c r="N52" s="4"/>
      <c r="O52" s="4"/>
      <c r="P52" s="4"/>
      <c r="Q52" s="4"/>
      <c r="R52" s="4"/>
      <c r="S52" s="4"/>
      <c r="T52" s="4"/>
      <c r="U52" s="4"/>
      <c r="V52" s="4"/>
      <c r="W52" s="4"/>
      <c r="X52" s="4"/>
      <c r="Y52" s="4"/>
      <c r="Z52" s="4"/>
    </row>
    <row r="53" ht="15.75" customHeight="1">
      <c r="A53" s="23"/>
      <c r="B53" s="19" t="s">
        <v>75</v>
      </c>
      <c r="C53" s="20"/>
      <c r="D53" s="20"/>
      <c r="E53" s="20"/>
      <c r="F53" s="20"/>
      <c r="G53" s="4"/>
      <c r="H53" s="4"/>
      <c r="I53" s="4"/>
      <c r="J53" s="4"/>
      <c r="K53" s="4"/>
      <c r="L53" s="4"/>
      <c r="M53" s="4"/>
      <c r="N53" s="4"/>
      <c r="O53" s="4"/>
      <c r="P53" s="4"/>
      <c r="Q53" s="4"/>
      <c r="R53" s="4"/>
      <c r="S53" s="4"/>
      <c r="T53" s="4"/>
      <c r="U53" s="4"/>
      <c r="V53" s="4"/>
      <c r="W53" s="4"/>
      <c r="X53" s="4"/>
      <c r="Y53" s="4"/>
      <c r="Z53" s="4"/>
    </row>
    <row r="54" ht="15.75" customHeight="1">
      <c r="A54" s="17"/>
      <c r="B54" s="19" t="s">
        <v>76</v>
      </c>
      <c r="C54" s="20">
        <v>0.25</v>
      </c>
      <c r="D54" s="20">
        <v>0.25</v>
      </c>
      <c r="E54" s="20">
        <v>0.25</v>
      </c>
      <c r="F54" s="20"/>
      <c r="G54" s="4"/>
      <c r="H54" s="4"/>
      <c r="I54" s="4"/>
      <c r="J54" s="4"/>
      <c r="K54" s="4"/>
      <c r="L54" s="4"/>
      <c r="M54" s="4"/>
      <c r="N54" s="4"/>
      <c r="O54" s="4"/>
      <c r="P54" s="4"/>
      <c r="Q54" s="4"/>
      <c r="R54" s="4"/>
      <c r="S54" s="4"/>
      <c r="T54" s="4"/>
      <c r="U54" s="4"/>
      <c r="V54" s="4"/>
      <c r="W54" s="4"/>
      <c r="X54" s="4"/>
      <c r="Y54" s="4"/>
      <c r="Z54" s="4"/>
    </row>
    <row r="55" ht="15.75" customHeight="1">
      <c r="A55" s="18" t="s">
        <v>77</v>
      </c>
      <c r="B55" s="19" t="s">
        <v>78</v>
      </c>
      <c r="C55" s="20"/>
      <c r="D55" s="20"/>
      <c r="E55" s="20"/>
      <c r="F55" s="20"/>
      <c r="G55" s="4" t="str">
        <f>IF(OR(SUM(C55:C57)&gt;0.5,SUM(D55:D57)&gt;0.5,SUM(E55:E57)&gt;0.5,SUM(F55:F57)&gt;0.5),"Nhập sai, tối đa 0.5đ","")</f>
        <v/>
      </c>
      <c r="H55" s="4"/>
      <c r="I55" s="4"/>
      <c r="J55" s="4"/>
      <c r="K55" s="4"/>
      <c r="L55" s="4"/>
      <c r="M55" s="4"/>
      <c r="N55" s="4"/>
      <c r="O55" s="4"/>
      <c r="P55" s="4"/>
      <c r="Q55" s="4"/>
      <c r="R55" s="4"/>
      <c r="S55" s="4"/>
      <c r="T55" s="4"/>
      <c r="U55" s="4"/>
      <c r="V55" s="4"/>
      <c r="W55" s="4"/>
      <c r="X55" s="4"/>
      <c r="Y55" s="4"/>
      <c r="Z55" s="4"/>
    </row>
    <row r="56" ht="15.75" customHeight="1">
      <c r="A56" s="23"/>
      <c r="B56" s="19" t="s">
        <v>79</v>
      </c>
      <c r="C56" s="20"/>
      <c r="D56" s="20"/>
      <c r="E56" s="20"/>
      <c r="F56" s="20"/>
      <c r="G56" s="4"/>
      <c r="H56" s="4"/>
      <c r="I56" s="4"/>
      <c r="J56" s="4"/>
      <c r="K56" s="4"/>
      <c r="L56" s="4"/>
      <c r="M56" s="4"/>
      <c r="N56" s="4"/>
      <c r="O56" s="4"/>
      <c r="P56" s="4"/>
      <c r="Q56" s="4"/>
      <c r="R56" s="4"/>
      <c r="S56" s="4"/>
      <c r="T56" s="4"/>
      <c r="U56" s="4"/>
      <c r="V56" s="4"/>
      <c r="W56" s="4"/>
      <c r="X56" s="4"/>
      <c r="Y56" s="4"/>
      <c r="Z56" s="4"/>
    </row>
    <row r="57" ht="15.75" customHeight="1">
      <c r="A57" s="17"/>
      <c r="B57" s="19" t="s">
        <v>80</v>
      </c>
      <c r="C57" s="20"/>
      <c r="D57" s="20"/>
      <c r="E57" s="20"/>
      <c r="F57" s="20"/>
      <c r="G57" s="4"/>
      <c r="H57" s="4"/>
      <c r="I57" s="4"/>
      <c r="J57" s="4"/>
      <c r="K57" s="4"/>
      <c r="L57" s="4"/>
      <c r="M57" s="4"/>
      <c r="N57" s="4"/>
      <c r="O57" s="4"/>
      <c r="P57" s="4"/>
      <c r="Q57" s="4"/>
      <c r="R57" s="4"/>
      <c r="S57" s="4"/>
      <c r="T57" s="4"/>
      <c r="U57" s="4"/>
      <c r="V57" s="4"/>
      <c r="W57" s="4"/>
      <c r="X57" s="4"/>
      <c r="Y57" s="4"/>
      <c r="Z57" s="4"/>
    </row>
    <row r="58" ht="15.75" customHeight="1">
      <c r="A58" s="18" t="s">
        <v>81</v>
      </c>
      <c r="B58" s="19" t="s">
        <v>82</v>
      </c>
      <c r="C58" s="20"/>
      <c r="D58" s="20"/>
      <c r="E58" s="20"/>
      <c r="F58" s="20"/>
      <c r="G58" s="4" t="str">
        <f>IF(OR(SUM(C58:C60)&gt;0.5,SUM(D58:D60)&gt;0.5,SUM(E58:E60)&gt;0.5,SUM(F58:F60)&gt;0.5),"Nhập sai, tối đa 0.5đ","")</f>
        <v/>
      </c>
      <c r="H58" s="4"/>
      <c r="I58" s="4"/>
      <c r="J58" s="4"/>
      <c r="K58" s="4"/>
      <c r="L58" s="4"/>
      <c r="M58" s="4"/>
      <c r="N58" s="4"/>
      <c r="O58" s="4"/>
      <c r="P58" s="4"/>
      <c r="Q58" s="4"/>
      <c r="R58" s="4"/>
      <c r="S58" s="4"/>
      <c r="T58" s="4"/>
      <c r="U58" s="4"/>
      <c r="V58" s="4"/>
      <c r="W58" s="4"/>
      <c r="X58" s="4"/>
      <c r="Y58" s="4"/>
      <c r="Z58" s="4"/>
    </row>
    <row r="59" ht="15.75" customHeight="1">
      <c r="A59" s="23"/>
      <c r="B59" s="19" t="s">
        <v>83</v>
      </c>
      <c r="C59" s="20">
        <v>0.25</v>
      </c>
      <c r="D59" s="20">
        <v>0.25</v>
      </c>
      <c r="E59" s="20">
        <v>0.25</v>
      </c>
      <c r="F59" s="20"/>
      <c r="G59" s="4"/>
      <c r="H59" s="4"/>
      <c r="I59" s="4"/>
      <c r="J59" s="4"/>
      <c r="K59" s="4"/>
      <c r="L59" s="4"/>
      <c r="M59" s="4"/>
      <c r="N59" s="4"/>
      <c r="O59" s="4"/>
      <c r="P59" s="4"/>
      <c r="Q59" s="4"/>
      <c r="R59" s="4"/>
      <c r="S59" s="4"/>
      <c r="T59" s="4"/>
      <c r="U59" s="4"/>
      <c r="V59" s="4"/>
      <c r="W59" s="4"/>
      <c r="X59" s="4"/>
      <c r="Y59" s="4"/>
      <c r="Z59" s="4"/>
    </row>
    <row r="60" ht="15.75" customHeight="1">
      <c r="A60" s="17"/>
      <c r="B60" s="19" t="s">
        <v>84</v>
      </c>
      <c r="C60" s="20"/>
      <c r="D60" s="20"/>
      <c r="E60" s="20"/>
      <c r="F60" s="20"/>
      <c r="G60" s="4"/>
      <c r="H60" s="4"/>
      <c r="I60" s="4"/>
      <c r="J60" s="4"/>
      <c r="K60" s="4"/>
      <c r="L60" s="4"/>
      <c r="M60" s="4"/>
      <c r="N60" s="4"/>
      <c r="O60" s="4"/>
      <c r="P60" s="4"/>
      <c r="Q60" s="4"/>
      <c r="R60" s="4"/>
      <c r="S60" s="4"/>
      <c r="T60" s="4"/>
      <c r="U60" s="4"/>
      <c r="V60" s="4"/>
      <c r="W60" s="4"/>
      <c r="X60" s="4"/>
      <c r="Y60" s="4"/>
      <c r="Z60" s="4"/>
    </row>
    <row r="61" ht="15.75" customHeight="1">
      <c r="A61" s="18" t="s">
        <v>85</v>
      </c>
      <c r="B61" s="19" t="s">
        <v>86</v>
      </c>
      <c r="C61" s="20"/>
      <c r="D61" s="20"/>
      <c r="E61" s="20"/>
      <c r="F61" s="20"/>
      <c r="G61" s="4" t="str">
        <f>IF(OR(SUM(C61:C66)&gt;0.5,SUM(D61:D66)&gt;0.5,SUM(E61:E66)&gt;0.5,SUM(F61:F66)&gt;0.5),"Nhập sai, tối đa 0.5đ","")</f>
        <v/>
      </c>
      <c r="H61" s="4"/>
      <c r="I61" s="4"/>
      <c r="J61" s="4"/>
      <c r="K61" s="4"/>
      <c r="L61" s="4"/>
      <c r="M61" s="4"/>
      <c r="N61" s="4"/>
      <c r="O61" s="4"/>
      <c r="P61" s="4"/>
      <c r="Q61" s="4"/>
      <c r="R61" s="4"/>
      <c r="S61" s="4"/>
      <c r="T61" s="4"/>
      <c r="U61" s="4"/>
      <c r="V61" s="4"/>
      <c r="W61" s="4"/>
      <c r="X61" s="4"/>
      <c r="Y61" s="4"/>
      <c r="Z61" s="4"/>
    </row>
    <row r="62" ht="15.75" customHeight="1">
      <c r="A62" s="23"/>
      <c r="B62" s="19" t="s">
        <v>87</v>
      </c>
      <c r="C62" s="20"/>
      <c r="D62" s="20"/>
      <c r="E62" s="20"/>
      <c r="F62" s="20"/>
      <c r="G62" s="4"/>
      <c r="H62" s="4"/>
      <c r="I62" s="4"/>
      <c r="J62" s="4"/>
      <c r="K62" s="4"/>
      <c r="L62" s="4"/>
      <c r="M62" s="4"/>
      <c r="N62" s="4"/>
      <c r="O62" s="4"/>
      <c r="P62" s="4"/>
      <c r="Q62" s="4"/>
      <c r="R62" s="4"/>
      <c r="S62" s="4"/>
      <c r="T62" s="4"/>
      <c r="U62" s="4"/>
      <c r="V62" s="4"/>
      <c r="W62" s="4"/>
      <c r="X62" s="4"/>
      <c r="Y62" s="4"/>
      <c r="Z62" s="4"/>
    </row>
    <row r="63" ht="15.75" customHeight="1">
      <c r="A63" s="23"/>
      <c r="B63" s="19" t="s">
        <v>88</v>
      </c>
      <c r="C63" s="20">
        <v>0.3</v>
      </c>
      <c r="D63" s="20">
        <v>0.3</v>
      </c>
      <c r="E63" s="20">
        <v>0.3</v>
      </c>
      <c r="F63" s="20"/>
      <c r="G63" s="4"/>
      <c r="H63" s="4"/>
      <c r="I63" s="4"/>
      <c r="J63" s="4"/>
      <c r="K63" s="4"/>
      <c r="L63" s="4"/>
      <c r="M63" s="4"/>
      <c r="N63" s="4"/>
      <c r="O63" s="4"/>
      <c r="P63" s="4"/>
      <c r="Q63" s="4"/>
      <c r="R63" s="4"/>
      <c r="S63" s="4"/>
      <c r="T63" s="4"/>
      <c r="U63" s="4"/>
      <c r="V63" s="4"/>
      <c r="W63" s="4"/>
      <c r="X63" s="4"/>
      <c r="Y63" s="4"/>
      <c r="Z63" s="4"/>
    </row>
    <row r="64" ht="15.75" customHeight="1">
      <c r="A64" s="23"/>
      <c r="B64" s="19" t="s">
        <v>89</v>
      </c>
      <c r="C64" s="20">
        <v>0.1</v>
      </c>
      <c r="D64" s="20">
        <v>0.1</v>
      </c>
      <c r="E64" s="20">
        <v>0.1</v>
      </c>
      <c r="F64" s="20"/>
      <c r="G64" s="4"/>
      <c r="H64" s="4"/>
      <c r="I64" s="4"/>
      <c r="J64" s="4"/>
      <c r="K64" s="4"/>
      <c r="L64" s="4"/>
      <c r="M64" s="4"/>
      <c r="N64" s="4"/>
      <c r="O64" s="4"/>
      <c r="P64" s="4"/>
      <c r="Q64" s="4"/>
      <c r="R64" s="4"/>
      <c r="S64" s="4"/>
      <c r="T64" s="4"/>
      <c r="U64" s="4"/>
      <c r="V64" s="4"/>
      <c r="W64" s="4"/>
      <c r="X64" s="4"/>
      <c r="Y64" s="4"/>
      <c r="Z64" s="4"/>
    </row>
    <row r="65" ht="15.75" customHeight="1">
      <c r="A65" s="23"/>
      <c r="B65" s="19" t="s">
        <v>90</v>
      </c>
      <c r="C65" s="20">
        <v>0.1</v>
      </c>
      <c r="D65" s="20">
        <v>0.1</v>
      </c>
      <c r="E65" s="20">
        <v>0.1</v>
      </c>
      <c r="F65" s="20"/>
      <c r="G65" s="4"/>
      <c r="H65" s="4"/>
      <c r="I65" s="4"/>
      <c r="J65" s="4"/>
      <c r="K65" s="4"/>
      <c r="L65" s="4"/>
      <c r="M65" s="4"/>
      <c r="N65" s="4"/>
      <c r="O65" s="4"/>
      <c r="P65" s="4"/>
      <c r="Q65" s="4"/>
      <c r="R65" s="4"/>
      <c r="S65" s="4"/>
      <c r="T65" s="4"/>
      <c r="U65" s="4"/>
      <c r="V65" s="4"/>
      <c r="W65" s="4"/>
      <c r="X65" s="4"/>
      <c r="Y65" s="4"/>
      <c r="Z65" s="4"/>
    </row>
    <row r="66" ht="15.75" customHeight="1">
      <c r="A66" s="17"/>
      <c r="B66" s="19" t="s">
        <v>91</v>
      </c>
      <c r="C66" s="20"/>
      <c r="D66" s="20"/>
      <c r="E66" s="20"/>
      <c r="F66" s="20"/>
      <c r="G66" s="4"/>
      <c r="H66" s="4"/>
      <c r="I66" s="4"/>
      <c r="J66" s="4"/>
      <c r="K66" s="4"/>
      <c r="L66" s="4"/>
      <c r="M66" s="4"/>
      <c r="N66" s="4"/>
      <c r="O66" s="4"/>
      <c r="P66" s="4"/>
      <c r="Q66" s="4"/>
      <c r="R66" s="4"/>
      <c r="S66" s="4"/>
      <c r="T66" s="4"/>
      <c r="U66" s="4"/>
      <c r="V66" s="4"/>
      <c r="W66" s="4"/>
      <c r="X66" s="4"/>
      <c r="Y66" s="4"/>
      <c r="Z66" s="4"/>
    </row>
    <row r="67" ht="15.75" customHeight="1">
      <c r="A67" s="18" t="s">
        <v>92</v>
      </c>
      <c r="B67" s="19" t="s">
        <v>93</v>
      </c>
      <c r="C67" s="20"/>
      <c r="D67" s="20"/>
      <c r="E67" s="20"/>
      <c r="F67" s="20"/>
      <c r="G67" s="4" t="str">
        <f>IF(OR(SUM(C67:C69)&gt;0.5,SUM(D67:D69)&gt;0.5,SUM(E67:E69)&gt;0.5,SUM(F67:F69)&gt;0.5),"Nhập sai, tối đa 0.5đ","")</f>
        <v/>
      </c>
      <c r="H67" s="4"/>
      <c r="I67" s="4"/>
      <c r="J67" s="4"/>
      <c r="K67" s="4"/>
      <c r="L67" s="4"/>
      <c r="M67" s="4"/>
      <c r="N67" s="4"/>
      <c r="O67" s="4"/>
      <c r="P67" s="4"/>
      <c r="Q67" s="4"/>
      <c r="R67" s="4"/>
      <c r="S67" s="4"/>
      <c r="T67" s="4"/>
      <c r="U67" s="4"/>
      <c r="V67" s="4"/>
      <c r="W67" s="4"/>
      <c r="X67" s="4"/>
      <c r="Y67" s="4"/>
      <c r="Z67" s="4"/>
    </row>
    <row r="68" ht="15.75" customHeight="1">
      <c r="A68" s="23"/>
      <c r="B68" s="19" t="s">
        <v>94</v>
      </c>
      <c r="C68" s="20">
        <v>0.25</v>
      </c>
      <c r="D68" s="20">
        <v>0.25</v>
      </c>
      <c r="E68" s="20">
        <v>0.25</v>
      </c>
      <c r="F68" s="20"/>
      <c r="G68" s="4"/>
      <c r="H68" s="4"/>
      <c r="I68" s="4"/>
      <c r="J68" s="4"/>
      <c r="K68" s="4"/>
      <c r="L68" s="4"/>
      <c r="M68" s="4"/>
      <c r="N68" s="4"/>
      <c r="O68" s="4"/>
      <c r="P68" s="4"/>
      <c r="Q68" s="4"/>
      <c r="R68" s="4"/>
      <c r="S68" s="4"/>
      <c r="T68" s="4"/>
      <c r="U68" s="4"/>
      <c r="V68" s="4"/>
      <c r="W68" s="4"/>
      <c r="X68" s="4"/>
      <c r="Y68" s="4"/>
      <c r="Z68" s="4"/>
    </row>
    <row r="69" ht="15.75" customHeight="1">
      <c r="A69" s="17"/>
      <c r="B69" s="19" t="s">
        <v>95</v>
      </c>
      <c r="C69" s="20"/>
      <c r="D69" s="20"/>
      <c r="E69" s="20"/>
      <c r="F69" s="20"/>
      <c r="G69" s="4"/>
      <c r="H69" s="4"/>
      <c r="I69" s="4"/>
      <c r="J69" s="4"/>
      <c r="K69" s="4"/>
      <c r="L69" s="4"/>
      <c r="M69" s="4"/>
      <c r="N69" s="4"/>
      <c r="O69" s="4"/>
      <c r="P69" s="4"/>
      <c r="Q69" s="4"/>
      <c r="R69" s="4"/>
      <c r="S69" s="4"/>
      <c r="T69" s="4"/>
      <c r="U69" s="4"/>
      <c r="V69" s="4"/>
      <c r="W69" s="4"/>
      <c r="X69" s="4"/>
      <c r="Y69" s="4"/>
      <c r="Z69" s="4"/>
    </row>
    <row r="70" ht="15.75" customHeight="1">
      <c r="A70" s="18" t="s">
        <v>96</v>
      </c>
      <c r="B70" s="19" t="s">
        <v>97</v>
      </c>
      <c r="C70" s="20"/>
      <c r="D70" s="20"/>
      <c r="E70" s="20"/>
      <c r="F70" s="20"/>
      <c r="G70" s="4" t="str">
        <f>IF(OR(SUM(C70:C72)&gt;0.5,SUM(D70:D72)&gt;0.5,SUM(E70:E72)&gt;0.5,SUM(F70:F72)&gt;0.5),"Nhập sai, tối đa 0.5đ","")</f>
        <v/>
      </c>
      <c r="H70" s="4"/>
      <c r="I70" s="4"/>
      <c r="J70" s="4"/>
      <c r="K70" s="4"/>
      <c r="L70" s="4"/>
      <c r="M70" s="4"/>
      <c r="N70" s="4"/>
      <c r="O70" s="4"/>
      <c r="P70" s="4"/>
      <c r="Q70" s="4"/>
      <c r="R70" s="4"/>
      <c r="S70" s="4"/>
      <c r="T70" s="4"/>
      <c r="U70" s="4"/>
      <c r="V70" s="4"/>
      <c r="W70" s="4"/>
      <c r="X70" s="4"/>
      <c r="Y70" s="4"/>
      <c r="Z70" s="4"/>
    </row>
    <row r="71" ht="15.75" customHeight="1">
      <c r="A71" s="23"/>
      <c r="B71" s="19" t="s">
        <v>98</v>
      </c>
      <c r="C71" s="20">
        <v>0.25</v>
      </c>
      <c r="D71" s="20">
        <v>0.25</v>
      </c>
      <c r="E71" s="20">
        <v>0.25</v>
      </c>
      <c r="F71" s="20"/>
      <c r="G71" s="4"/>
      <c r="H71" s="4"/>
      <c r="I71" s="4"/>
      <c r="J71" s="4"/>
      <c r="K71" s="4"/>
      <c r="L71" s="4"/>
      <c r="M71" s="4"/>
      <c r="N71" s="4"/>
      <c r="O71" s="4"/>
      <c r="P71" s="4"/>
      <c r="Q71" s="4"/>
      <c r="R71" s="4"/>
      <c r="S71" s="4"/>
      <c r="T71" s="4"/>
      <c r="U71" s="4"/>
      <c r="V71" s="4"/>
      <c r="W71" s="4"/>
      <c r="X71" s="4"/>
      <c r="Y71" s="4"/>
      <c r="Z71" s="4"/>
    </row>
    <row r="72" ht="15.75" customHeight="1">
      <c r="A72" s="17"/>
      <c r="B72" s="19" t="s">
        <v>99</v>
      </c>
      <c r="C72" s="20">
        <v>0.25</v>
      </c>
      <c r="D72" s="20">
        <v>0.25</v>
      </c>
      <c r="E72" s="20">
        <v>0.25</v>
      </c>
      <c r="F72" s="20"/>
      <c r="G72" s="4"/>
      <c r="H72" s="4"/>
      <c r="I72" s="4"/>
      <c r="J72" s="4"/>
      <c r="K72" s="4"/>
      <c r="L72" s="4"/>
      <c r="M72" s="4"/>
      <c r="N72" s="4"/>
      <c r="O72" s="4"/>
      <c r="P72" s="4"/>
      <c r="Q72" s="4"/>
      <c r="R72" s="4"/>
      <c r="S72" s="4"/>
      <c r="T72" s="4"/>
      <c r="U72" s="4"/>
      <c r="V72" s="4"/>
      <c r="W72" s="4"/>
      <c r="X72" s="4"/>
      <c r="Y72" s="4"/>
      <c r="Z72" s="4"/>
    </row>
    <row r="73" ht="15.75" customHeight="1">
      <c r="A73" s="18" t="s">
        <v>100</v>
      </c>
      <c r="B73" s="19" t="s">
        <v>101</v>
      </c>
      <c r="C73" s="20"/>
      <c r="D73" s="20"/>
      <c r="E73" s="20"/>
      <c r="F73" s="20"/>
      <c r="G73" s="4" t="str">
        <f>IF(OR(SUM(C73:C76)&gt;0.5,SUM(D73:D76)&gt;0.5,SUM(E73:E76)&gt;0.5,SUM(F73:F76)&gt;0.5),"Nhập sai, tối đa 0.5đ","")</f>
        <v/>
      </c>
      <c r="H73" s="4"/>
      <c r="I73" s="4"/>
      <c r="J73" s="4"/>
      <c r="K73" s="4"/>
      <c r="L73" s="4"/>
      <c r="M73" s="4"/>
      <c r="N73" s="4"/>
      <c r="O73" s="4"/>
      <c r="P73" s="4"/>
      <c r="Q73" s="4"/>
      <c r="R73" s="4"/>
      <c r="S73" s="4"/>
      <c r="T73" s="4"/>
      <c r="U73" s="4"/>
      <c r="V73" s="4"/>
      <c r="W73" s="4"/>
      <c r="X73" s="4"/>
      <c r="Y73" s="4"/>
      <c r="Z73" s="4"/>
    </row>
    <row r="74" ht="15.75" customHeight="1">
      <c r="A74" s="23"/>
      <c r="B74" s="19" t="s">
        <v>102</v>
      </c>
      <c r="C74" s="20"/>
      <c r="D74" s="20"/>
      <c r="E74" s="20"/>
      <c r="F74" s="20"/>
      <c r="G74" s="4"/>
      <c r="H74" s="4"/>
      <c r="I74" s="4"/>
      <c r="J74" s="4"/>
      <c r="K74" s="4"/>
      <c r="L74" s="4"/>
      <c r="M74" s="4"/>
      <c r="N74" s="4"/>
      <c r="O74" s="4"/>
      <c r="P74" s="4"/>
      <c r="Q74" s="4"/>
      <c r="R74" s="4"/>
      <c r="S74" s="4"/>
      <c r="T74" s="4"/>
      <c r="U74" s="4"/>
      <c r="V74" s="4"/>
      <c r="W74" s="4"/>
      <c r="X74" s="4"/>
      <c r="Y74" s="4"/>
      <c r="Z74" s="4"/>
    </row>
    <row r="75" ht="15.75" customHeight="1">
      <c r="A75" s="23"/>
      <c r="B75" s="19" t="s">
        <v>103</v>
      </c>
      <c r="C75" s="20">
        <v>0.5</v>
      </c>
      <c r="D75" s="20">
        <v>0.5</v>
      </c>
      <c r="E75" s="20">
        <v>0.5</v>
      </c>
      <c r="F75" s="20"/>
      <c r="G75" s="4"/>
      <c r="H75" s="4"/>
      <c r="I75" s="4"/>
      <c r="J75" s="4"/>
      <c r="K75" s="4"/>
      <c r="L75" s="4"/>
      <c r="M75" s="4"/>
      <c r="N75" s="4"/>
      <c r="O75" s="4"/>
      <c r="P75" s="4"/>
      <c r="Q75" s="4"/>
      <c r="R75" s="4"/>
      <c r="S75" s="4"/>
      <c r="T75" s="4"/>
      <c r="U75" s="4"/>
      <c r="V75" s="4"/>
      <c r="W75" s="4"/>
      <c r="X75" s="4"/>
      <c r="Y75" s="4"/>
      <c r="Z75" s="4"/>
    </row>
    <row r="76" ht="15.75" customHeight="1">
      <c r="A76" s="17"/>
      <c r="B76" s="19" t="s">
        <v>104</v>
      </c>
      <c r="C76" s="25"/>
      <c r="D76" s="20"/>
      <c r="E76" s="20"/>
      <c r="F76" s="20"/>
      <c r="G76" s="4"/>
      <c r="H76" s="4"/>
      <c r="I76" s="4"/>
      <c r="J76" s="4"/>
      <c r="K76" s="4"/>
      <c r="L76" s="4"/>
      <c r="M76" s="4"/>
      <c r="N76" s="4"/>
      <c r="O76" s="4"/>
      <c r="P76" s="4"/>
      <c r="Q76" s="4"/>
      <c r="R76" s="4"/>
      <c r="S76" s="4"/>
      <c r="T76" s="4"/>
      <c r="U76" s="4"/>
      <c r="V76" s="4"/>
      <c r="W76" s="4"/>
      <c r="X76" s="4"/>
      <c r="Y76" s="4"/>
      <c r="Z76" s="4"/>
    </row>
    <row r="77" ht="15.75" customHeight="1">
      <c r="A77" s="18" t="s">
        <v>105</v>
      </c>
      <c r="B77" s="19" t="s">
        <v>101</v>
      </c>
      <c r="C77" s="20"/>
      <c r="D77" s="20"/>
      <c r="E77" s="20"/>
      <c r="F77" s="20"/>
      <c r="G77" s="4" t="str">
        <f>IF(OR(SUM(C77:C80)&gt;0.5,SUM(D77:D80)&gt;0.5,SUM(E77:E80)&gt;0.5,SUM(F77:F80)&gt;0.5),"Nhập sai, tối đa 0.5đ","")</f>
        <v/>
      </c>
      <c r="H77" s="4"/>
      <c r="I77" s="4"/>
      <c r="J77" s="4"/>
      <c r="K77" s="4"/>
      <c r="L77" s="4"/>
      <c r="M77" s="4"/>
      <c r="N77" s="4"/>
      <c r="O77" s="4"/>
      <c r="P77" s="4"/>
      <c r="Q77" s="4"/>
      <c r="R77" s="4"/>
      <c r="S77" s="4"/>
      <c r="T77" s="4"/>
      <c r="U77" s="4"/>
      <c r="V77" s="4"/>
      <c r="W77" s="4"/>
      <c r="X77" s="4"/>
      <c r="Y77" s="4"/>
      <c r="Z77" s="4"/>
    </row>
    <row r="78" ht="15.75" customHeight="1">
      <c r="A78" s="23"/>
      <c r="B78" s="19" t="s">
        <v>106</v>
      </c>
      <c r="C78" s="20"/>
      <c r="D78" s="20"/>
      <c r="E78" s="20"/>
      <c r="F78" s="20"/>
      <c r="G78" s="4"/>
      <c r="H78" s="4"/>
      <c r="I78" s="4"/>
      <c r="J78" s="4"/>
      <c r="K78" s="4"/>
      <c r="L78" s="4"/>
      <c r="M78" s="4"/>
      <c r="N78" s="4"/>
      <c r="O78" s="4"/>
      <c r="P78" s="4"/>
      <c r="Q78" s="4"/>
      <c r="R78" s="4"/>
      <c r="S78" s="4"/>
      <c r="T78" s="4"/>
      <c r="U78" s="4"/>
      <c r="V78" s="4"/>
      <c r="W78" s="4"/>
      <c r="X78" s="4"/>
      <c r="Y78" s="4"/>
      <c r="Z78" s="4"/>
    </row>
    <row r="79" ht="15.75" customHeight="1">
      <c r="A79" s="23"/>
      <c r="B79" s="19" t="s">
        <v>107</v>
      </c>
      <c r="C79" s="20">
        <v>0.5</v>
      </c>
      <c r="D79" s="20">
        <v>0.5</v>
      </c>
      <c r="E79" s="20">
        <v>0.5</v>
      </c>
      <c r="F79" s="20"/>
      <c r="G79" s="4"/>
      <c r="H79" s="4"/>
      <c r="I79" s="4"/>
      <c r="J79" s="4"/>
      <c r="K79" s="4"/>
      <c r="L79" s="4"/>
      <c r="M79" s="4"/>
      <c r="N79" s="4"/>
      <c r="O79" s="4"/>
      <c r="P79" s="4"/>
      <c r="Q79" s="4"/>
      <c r="R79" s="4"/>
      <c r="S79" s="4"/>
      <c r="T79" s="4"/>
      <c r="U79" s="4"/>
      <c r="V79" s="4"/>
      <c r="W79" s="4"/>
      <c r="X79" s="4"/>
      <c r="Y79" s="4"/>
      <c r="Z79" s="4"/>
    </row>
    <row r="80" ht="15.75" customHeight="1">
      <c r="A80" s="17"/>
      <c r="B80" s="19" t="s">
        <v>108</v>
      </c>
      <c r="C80" s="20"/>
      <c r="D80" s="20"/>
      <c r="E80" s="20"/>
      <c r="F80" s="20"/>
      <c r="G80" s="4"/>
      <c r="H80" s="4"/>
      <c r="I80" s="4"/>
      <c r="J80" s="4"/>
      <c r="K80" s="4"/>
      <c r="L80" s="4"/>
      <c r="M80" s="4"/>
      <c r="N80" s="4"/>
      <c r="O80" s="4"/>
      <c r="P80" s="4"/>
      <c r="Q80" s="4"/>
      <c r="R80" s="4"/>
      <c r="S80" s="4"/>
      <c r="T80" s="4"/>
      <c r="U80" s="4"/>
      <c r="V80" s="4"/>
      <c r="W80" s="4"/>
      <c r="X80" s="4"/>
      <c r="Y80" s="4"/>
      <c r="Z80" s="4"/>
    </row>
    <row r="81" ht="15.75" customHeight="1">
      <c r="A81" s="18" t="s">
        <v>109</v>
      </c>
      <c r="B81" s="19" t="s">
        <v>110</v>
      </c>
      <c r="C81" s="20"/>
      <c r="D81" s="20"/>
      <c r="E81" s="20"/>
      <c r="F81" s="20"/>
      <c r="G81" s="4" t="str">
        <f>IF(OR(SUM(C81:C82)&gt;0.5,SUM(D81:D82)&gt;0.5,SUM(E81:E82)&gt;0.5,SUM(F81:F82)&gt;0.5),"Nhập sai, tối đa 0.5đ","")</f>
        <v/>
      </c>
      <c r="H81" s="4"/>
      <c r="I81" s="4"/>
      <c r="J81" s="4"/>
      <c r="K81" s="4"/>
      <c r="L81" s="4"/>
      <c r="M81" s="4"/>
      <c r="N81" s="4"/>
      <c r="O81" s="4"/>
      <c r="P81" s="4"/>
      <c r="Q81" s="4"/>
      <c r="R81" s="4"/>
      <c r="S81" s="4"/>
      <c r="T81" s="4"/>
      <c r="U81" s="4"/>
      <c r="V81" s="4"/>
      <c r="W81" s="4"/>
      <c r="X81" s="4"/>
      <c r="Y81" s="4"/>
      <c r="Z81" s="4"/>
    </row>
    <row r="82" ht="15.75" customHeight="1">
      <c r="A82" s="17"/>
      <c r="B82" s="19" t="s">
        <v>111</v>
      </c>
      <c r="C82" s="20"/>
      <c r="D82" s="20"/>
      <c r="E82" s="20"/>
      <c r="F82" s="20"/>
      <c r="G82" s="4"/>
      <c r="H82" s="4"/>
      <c r="I82" s="4"/>
      <c r="J82" s="4"/>
      <c r="K82" s="4"/>
      <c r="L82" s="4"/>
      <c r="M82" s="4"/>
      <c r="N82" s="4"/>
      <c r="O82" s="4"/>
      <c r="P82" s="4"/>
      <c r="Q82" s="4"/>
      <c r="R82" s="4"/>
      <c r="S82" s="4"/>
      <c r="T82" s="4"/>
      <c r="U82" s="4"/>
      <c r="V82" s="4"/>
      <c r="W82" s="4"/>
      <c r="X82" s="4"/>
      <c r="Y82" s="4"/>
      <c r="Z82" s="4"/>
    </row>
    <row r="83" ht="15.75" customHeight="1">
      <c r="A83" s="26" t="s">
        <v>112</v>
      </c>
      <c r="B83" s="27" t="s">
        <v>113</v>
      </c>
      <c r="C83" s="28">
        <f t="shared" ref="C83:F83" si="1">SUM(C10:C82)</f>
        <v>8.5</v>
      </c>
      <c r="D83" s="28">
        <f t="shared" si="1"/>
        <v>8.5</v>
      </c>
      <c r="E83" s="28">
        <f t="shared" si="1"/>
        <v>8.5</v>
      </c>
      <c r="F83" s="28">
        <f t="shared" si="1"/>
        <v>0</v>
      </c>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2">
    <mergeCell ref="A8:B8"/>
    <mergeCell ref="C8:C9"/>
    <mergeCell ref="D8:D9"/>
    <mergeCell ref="E8:E9"/>
    <mergeCell ref="F8:F9"/>
    <mergeCell ref="A10:A12"/>
    <mergeCell ref="H10:I15"/>
    <mergeCell ref="A55:A57"/>
    <mergeCell ref="A58:A60"/>
    <mergeCell ref="A61:A66"/>
    <mergeCell ref="A67:A69"/>
    <mergeCell ref="A70:A72"/>
    <mergeCell ref="A73:A76"/>
    <mergeCell ref="A77:A80"/>
    <mergeCell ref="A81:A82"/>
    <mergeCell ref="A13:A22"/>
    <mergeCell ref="A23:A31"/>
    <mergeCell ref="A32:A34"/>
    <mergeCell ref="A35:A38"/>
    <mergeCell ref="A39:A44"/>
    <mergeCell ref="A45:A49"/>
    <mergeCell ref="A50:A54"/>
  </mergeCells>
  <printOptions/>
  <pageMargins bottom="0.75" footer="0.0" header="0.0" left="0.7" right="0.7" top="0.75"/>
  <pageSetup orientation="landscape"/>
  <drawing r:id="rId1"/>
</worksheet>
</file>